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4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egend" sheetId="2" state="visible" r:id="rId4"/>
    <sheet name="SYS.1" sheetId="3" state="visible" r:id="rId5"/>
    <sheet name="SYS.2" sheetId="4" state="visible" r:id="rId6"/>
    <sheet name="SYS.3" sheetId="5" state="visible" r:id="rId7"/>
    <sheet name="SYS.4" sheetId="6" state="visible" r:id="rId8"/>
    <sheet name="SYS.5" sheetId="7" state="visible" r:id="rId9"/>
    <sheet name="SWE.1" sheetId="8" state="visible" r:id="rId10"/>
    <sheet name="SWE.2" sheetId="9" state="visible" r:id="rId11"/>
    <sheet name="SWE.3" sheetId="10" state="visible" r:id="rId12"/>
    <sheet name="SWE.4" sheetId="11" state="visible" r:id="rId13"/>
    <sheet name="SWE.5" sheetId="12" state="visible" r:id="rId14"/>
    <sheet name="SWE.6" sheetId="13" state="visible" r:id="rId15"/>
    <sheet name="SUP.1" sheetId="14" state="visible" r:id="rId16"/>
    <sheet name="SUP.8" sheetId="15" state="visible" r:id="rId17"/>
    <sheet name="SUP.9" sheetId="16" state="visible" r:id="rId18"/>
    <sheet name="SUP.10" sheetId="17" state="visible" r:id="rId19"/>
    <sheet name="MAN.3" sheetId="18" state="visible" r:id="rId20"/>
    <sheet name="ACQ.4" sheetId="19" state="visible" r:id="rId21"/>
    <sheet name="GP2" sheetId="20" state="visible" r:id="rId22"/>
  </sheets>
  <definedNames>
    <definedName function="false" hidden="false" localSheetId="18" name="_xlnm.Print_Titles" vbProcedure="false">'ACQ.4'!$5:$5</definedName>
    <definedName function="false" hidden="true" localSheetId="18" name="_xlnm._FilterDatabase" vbProcedure="false">'ACQ.4'!$A$5:$H$12</definedName>
    <definedName function="false" hidden="false" localSheetId="19" name="_xlnm.Print_Titles" vbProcedure="false">GP2!$5:$5</definedName>
    <definedName function="false" hidden="true" localSheetId="19" name="_xlnm._FilterDatabase" vbProcedure="false">GP2!$A$5:$H$16</definedName>
    <definedName function="false" hidden="false" localSheetId="17" name="_xlnm.Print_Titles" vbProcedure="false">'MAN.3'!$5:$5</definedName>
    <definedName function="false" hidden="true" localSheetId="17" name="_xlnm._FilterDatabase" vbProcedure="false">'MAN.3'!$A$5:$H$16</definedName>
    <definedName function="false" hidden="false" localSheetId="13" name="_xlnm.Print_Titles" vbProcedure="false">'SUP.1'!$5:$5</definedName>
    <definedName function="false" hidden="true" localSheetId="13" name="_xlnm._FilterDatabase" vbProcedure="false">'SUP.1'!$A$5:$H$13</definedName>
    <definedName function="false" hidden="false" localSheetId="16" name="_xlnm.Print_Titles" vbProcedure="false">'SUP.10'!$5:$5</definedName>
    <definedName function="false" hidden="true" localSheetId="16" name="_xlnm._FilterDatabase" vbProcedure="false">'SUP.10'!$A$5:$H$12</definedName>
    <definedName function="false" hidden="false" localSheetId="14" name="_xlnm.Print_Titles" vbProcedure="false">'SUP.8'!$5:$5</definedName>
    <definedName function="false" hidden="true" localSheetId="14" name="_xlnm._FilterDatabase" vbProcedure="false">'SUP.8'!$A$5:$H$13</definedName>
    <definedName function="false" hidden="false" localSheetId="15" name="_xlnm.Print_Titles" vbProcedure="false">'SUP.9'!$5:$5</definedName>
    <definedName function="false" hidden="true" localSheetId="15" name="_xlnm._FilterDatabase" vbProcedure="false">'SUP.9'!$A$5:$H$14</definedName>
    <definedName function="false" hidden="false" localSheetId="7" name="_xlnm.Print_Titles" vbProcedure="false">'SWE.1'!$5:$5</definedName>
    <definedName function="false" hidden="true" localSheetId="7" name="_xlnm._FilterDatabase" vbProcedure="false">'SWE.1'!$A$5:$H$15</definedName>
    <definedName function="false" hidden="false" localSheetId="8" name="_xlnm.Print_Titles" vbProcedure="false">'SWE.2'!$5:$5</definedName>
    <definedName function="false" hidden="true" localSheetId="8" name="_xlnm._FilterDatabase" vbProcedure="false">'SWE.2'!$A$5:$H$15</definedName>
    <definedName function="false" hidden="false" localSheetId="9" name="_xlnm.Print_Titles" vbProcedure="false">'SWE.3'!$5:$5</definedName>
    <definedName function="false" hidden="true" localSheetId="9" name="_xlnm._FilterDatabase" vbProcedure="false">'SWE.3'!$A$5:$H$14</definedName>
    <definedName function="false" hidden="false" localSheetId="10" name="_xlnm.Print_Titles" vbProcedure="false">'SWE.4'!$5:$5</definedName>
    <definedName function="false" hidden="true" localSheetId="10" name="_xlnm._FilterDatabase" vbProcedure="false">'SWE.4'!$A$5:$H$13</definedName>
    <definedName function="false" hidden="false" localSheetId="11" name="_xlnm.Print_Titles" vbProcedure="false">'SWE.5'!$5:$5</definedName>
    <definedName function="false" hidden="true" localSheetId="11" name="_xlnm._FilterDatabase" vbProcedure="false">'SWE.5'!$A$5:$H$14</definedName>
    <definedName function="false" hidden="false" localSheetId="12" name="_xlnm.Print_Titles" vbProcedure="false">'SWE.6'!$5:$5</definedName>
    <definedName function="false" hidden="true" localSheetId="12" name="_xlnm._FilterDatabase" vbProcedure="false">'SWE.6'!$A$5:$H$14</definedName>
    <definedName function="false" hidden="false" localSheetId="2" name="_xlnm.Print_Titles" vbProcedure="false">'SYS.1'!$5:$5</definedName>
    <definedName function="false" hidden="true" localSheetId="2" name="_xlnm._FilterDatabase" vbProcedure="false">'SYS.1'!$A$5:$H$12</definedName>
    <definedName function="false" hidden="false" localSheetId="3" name="_xlnm.Print_Titles" vbProcedure="false">'SYS.2'!$5:$5</definedName>
    <definedName function="false" hidden="true" localSheetId="3" name="_xlnm._FilterDatabase" vbProcedure="false">'SYS.2'!$A$5:$H$46</definedName>
    <definedName function="false" hidden="false" localSheetId="4" name="_xlnm.Print_Titles" vbProcedure="false">'SYS.3'!$5:$5</definedName>
    <definedName function="false" hidden="true" localSheetId="4" name="_xlnm._FilterDatabase" vbProcedure="false">'SYS.3'!$A$5:$H$15</definedName>
    <definedName function="false" hidden="false" localSheetId="5" name="_xlnm.Print_Titles" vbProcedure="false">'SYS.4'!$5:$5</definedName>
    <definedName function="false" hidden="true" localSheetId="5" name="_xlnm._FilterDatabase" vbProcedure="false">'SYS.4'!$A$5:$H$15</definedName>
    <definedName function="false" hidden="false" localSheetId="6" name="_xlnm.Print_Titles" vbProcedure="false">'SYS.5'!$5:$5</definedName>
    <definedName function="false" hidden="true" localSheetId="6" name="_xlnm._FilterDatabase" vbProcedure="false">'SYS.5'!$A$5:$H$14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<sst xmlns="http://schemas.openxmlformats.org/spreadsheetml/2006/main" count="660" uniqueCount="475">
  <si>
    <t xml:space="preserve">ASPICE Review Checklist: Overview</t>
  </si>
  <si>
    <t xml:space="preserve">Project / System:</t>
  </si>
  <si>
    <t xml:space="preserve">Review scope / baseline:</t>
  </si>
  <si>
    <t xml:space="preserve">Process</t>
  </si>
  <si>
    <t xml:space="preserve">Name</t>
  </si>
  <si>
    <t xml:space="preserve">Checks</t>
  </si>
  <si>
    <t xml:space="preserve">Pass</t>
  </si>
  <si>
    <t xml:space="preserve">Fail</t>
  </si>
  <si>
    <t xml:space="preserve">Open</t>
  </si>
  <si>
    <t xml:space="preserve">N/A</t>
  </si>
  <si>
    <t xml:space="preserve">Not yet rated</t>
  </si>
  <si>
    <t xml:space="preserve">Pass rate (excl. N/A)</t>
  </si>
  <si>
    <t xml:space="preserve">SYS.1</t>
  </si>
  <si>
    <t xml:space="preserve">Requirements Elicitation</t>
  </si>
  <si>
    <t xml:space="preserve">SYS.2</t>
  </si>
  <si>
    <t xml:space="preserve">System Requirements Analysis</t>
  </si>
  <si>
    <t xml:space="preserve">SYS.3</t>
  </si>
  <si>
    <t xml:space="preserve">System Architectural Design</t>
  </si>
  <si>
    <t xml:space="preserve">SYS.4</t>
  </si>
  <si>
    <t xml:space="preserve">System Integration and Integration Test</t>
  </si>
  <si>
    <t xml:space="preserve">SYS.5</t>
  </si>
  <si>
    <t xml:space="preserve">System Qualification Test</t>
  </si>
  <si>
    <t xml:space="preserve">SWE.1</t>
  </si>
  <si>
    <t xml:space="preserve">Software Requirements Analysis</t>
  </si>
  <si>
    <t xml:space="preserve">SWE.2</t>
  </si>
  <si>
    <t xml:space="preserve">Software Architectural Design</t>
  </si>
  <si>
    <t xml:space="preserve">SWE.3</t>
  </si>
  <si>
    <t xml:space="preserve">Software Detailed Design and Unit Construction</t>
  </si>
  <si>
    <t xml:space="preserve">SWE.4</t>
  </si>
  <si>
    <t xml:space="preserve">Software Unit Verification</t>
  </si>
  <si>
    <t xml:space="preserve">SWE.5</t>
  </si>
  <si>
    <t xml:space="preserve">Software Integration and Integration Test</t>
  </si>
  <si>
    <t xml:space="preserve">SWE.6</t>
  </si>
  <si>
    <t xml:space="preserve">Software Qualification Test</t>
  </si>
  <si>
    <t xml:space="preserve">SUP.1</t>
  </si>
  <si>
    <t xml:space="preserve">Quality Assurance</t>
  </si>
  <si>
    <t xml:space="preserve">SUP.8</t>
  </si>
  <si>
    <t xml:space="preserve">Configuration Management</t>
  </si>
  <si>
    <t xml:space="preserve">SUP.9</t>
  </si>
  <si>
    <t xml:space="preserve">Problem Resolution Management</t>
  </si>
  <si>
    <t xml:space="preserve">SUP.10</t>
  </si>
  <si>
    <t xml:space="preserve">Change Request Management</t>
  </si>
  <si>
    <t xml:space="preserve">MAN.3</t>
  </si>
  <si>
    <t xml:space="preserve">Project Management</t>
  </si>
  <si>
    <t xml:space="preserve">ACQ.4</t>
  </si>
  <si>
    <t xml:space="preserve">Supplier Monitoring</t>
  </si>
  <si>
    <t xml:space="preserve">GP 2.x</t>
  </si>
  <si>
    <t xml:space="preserve">Generic Practices CL2 (apply per process)</t>
  </si>
  <si>
    <t xml:space="preserve">Total</t>
  </si>
  <si>
    <t xml:space="preserve">Suggested verdict</t>
  </si>
  <si>
    <t xml:space="preserve">Verdict is derived from the counts only; the review/assessment team decides.</t>
  </si>
  <si>
    <t xml:space="preserve">How to use this workbook</t>
  </si>
  <si>
    <t xml:space="preserve">One sheet per process. Edit only the cream-colored cells (reviewer/date, Result to Evidence).</t>
  </si>
  <si>
    <t xml:space="preserve">Result: Pass = practice is fulfilled and evidenced; Fail = finding, rework needed; Open = needs clarification or evidence; N/A = not applicable (justify in Comment).</t>
  </si>
  <si>
    <t xml:space="preserve">Severity (for Fail/Open): Critical = blocks baseline/release; Major = fix before baseline; Minor = fix when convenient; Info = observation.</t>
  </si>
  <si>
    <t xml:space="preserve">The 'Summary' sheet updates automatically from the Result columns; click a process name there to jump to its sheet.</t>
  </si>
  <si>
    <t xml:space="preserve">Scope: processes in the VDA/Automotive SPICE scope (SYS.2-5, SWE.1-6, SUP.1, 8, 9, 10, MAN.3, ACQ.4) plus SYS.1 and the CL2 generic practices.</t>
  </si>
  <si>
    <t xml:space="preserve">Wording is based on ASPICE PAM 3.1 base practices. PAM 4.0 renames and restructures several processes (e.g. adds HWE, MLE, changes SWE.3/SWE.4 wording); adapt before using in a 4.0 assessment.</t>
  </si>
  <si>
    <t xml:space="preserve">Checks are review aids derived from the base practices, not the official assessment indicators. Add project- or customer-specific criteria as needed.</t>
  </si>
  <si>
    <t xml:space="preserve">Example row (how a finding should look)</t>
  </si>
  <si>
    <t xml:space="preserve">ID</t>
  </si>
  <si>
    <t xml:space="preserve">Check</t>
  </si>
  <si>
    <t xml:space="preserve">Result</t>
  </si>
  <si>
    <t xml:space="preserve">Severity</t>
  </si>
  <si>
    <t xml:space="preserve">Comment / Finding</t>
  </si>
  <si>
    <t xml:space="preserve">Owner</t>
  </si>
  <si>
    <t xml:space="preserve">Due date</t>
  </si>
  <si>
    <t xml:space="preserve">Evidence / Work product</t>
  </si>
  <si>
    <t xml:space="preserve">SWE.4.05</t>
  </si>
  <si>
    <t xml:space="preserve">Coverage gaps justified or closed; test environment and tool qualification documented</t>
  </si>
  <si>
    <t xml:space="preserve">Major</t>
  </si>
  <si>
    <t xml:space="preserve">Branch coverage 82% vs. 100% target; no justification for uncovered branches in Module X.</t>
  </si>
  <si>
    <t xml:space="preserve">M. Mahal</t>
  </si>
  <si>
    <t xml:space="preserve">2026-10-30</t>
  </si>
  <si>
    <t xml:space="preserve">Coverage report v1.3</t>
  </si>
  <si>
    <t xml:space="preserve">SYS.1  Requirements Elicitation</t>
  </si>
  <si>
    <t xml:space="preserve">Reviewer:</t>
  </si>
  <si>
    <t xml:space="preserve">Date:</t>
  </si>
  <si>
    <t xml:space="preserve">SYS.1.01</t>
  </si>
  <si>
    <t xml:space="preserve">Stakeholder expectations and requests obtained and documented, incl. their source</t>
  </si>
  <si>
    <t xml:space="preserve">SYS.1.02</t>
  </si>
  <si>
    <t xml:space="preserve">Stakeholder requirements understood: ambiguities clarified, conflicts and priorities resolved</t>
  </si>
  <si>
    <t xml:space="preserve">SYS.1.03</t>
  </si>
  <si>
    <t xml:space="preserve">Requirements agreed with stakeholders/customer and the agreement is documented</t>
  </si>
  <si>
    <t xml:space="preserve">SYS.1.04</t>
  </si>
  <si>
    <t xml:space="preserve">Stakeholder requirements baseline established</t>
  </si>
  <si>
    <t xml:space="preserve">SYS.1.05</t>
  </si>
  <si>
    <t xml:space="preserve">Changes to stakeholder requirements managed (impact analyzed, communicated, baselined)</t>
  </si>
  <si>
    <t xml:space="preserve">SYS.1.06</t>
  </si>
  <si>
    <t xml:space="preserve">Customer-supplier query and communication mechanism defined and used</t>
  </si>
  <si>
    <t xml:space="preserve">SYS.1.07</t>
  </si>
  <si>
    <t xml:space="preserve">Cybersecurity, safety, regulatory, and legal expectations captured where applicable</t>
  </si>
  <si>
    <t xml:space="preserve">SYS.2  System Requirements Analysis</t>
  </si>
  <si>
    <t xml:space="preserve">1</t>
  </si>
  <si>
    <t xml:space="preserve">Quality of each requirement</t>
  </si>
  <si>
    <t xml:space="preserve">1.1</t>
  </si>
  <si>
    <t xml:space="preserve">Atomic: one requirement, one statement (no "and/or" bundling)</t>
  </si>
  <si>
    <t xml:space="preserve">1.2</t>
  </si>
  <si>
    <t xml:space="preserve">Unambiguous: no vague terms ("fast", "appropriate", "etc.", "as required")</t>
  </si>
  <si>
    <t xml:space="preserve">1.3</t>
  </si>
  <si>
    <t xml:space="preserve">Consistent modal verbs ("shall" mandatory, "should" optional)</t>
  </si>
  <si>
    <t xml:space="preserve">1.4</t>
  </si>
  <si>
    <t xml:space="preserve">Written as solution-free "what", not a design "how"</t>
  </si>
  <si>
    <t xml:space="preserve">1.5</t>
  </si>
  <si>
    <t xml:space="preserve">Measurable and testable, with values, units, tolerances, and conditions</t>
  </si>
  <si>
    <t xml:space="preserve">1.6</t>
  </si>
  <si>
    <t xml:space="preserve">Unique ID and clear owner or status</t>
  </si>
  <si>
    <t xml:space="preserve">1.7</t>
  </si>
  <si>
    <t xml:space="preserve">Rationale or source documented where not obvious</t>
  </si>
  <si>
    <t xml:space="preserve">2</t>
  </si>
  <si>
    <t xml:space="preserve">Completeness and structure</t>
  </si>
  <si>
    <t xml:space="preserve">2.1</t>
  </si>
  <si>
    <t xml:space="preserve">Functional requirements covered (normal behavior, modes, states, transitions)</t>
  </si>
  <si>
    <t xml:space="preserve">2.2</t>
  </si>
  <si>
    <t xml:space="preserve">Non-functional requirements covered (performance, timing, resource limits, reliability, diagnostics)</t>
  </si>
  <si>
    <t xml:space="preserve">2.3</t>
  </si>
  <si>
    <t xml:space="preserve">Error handling and degraded behavior specified</t>
  </si>
  <si>
    <t xml:space="preserve">2.4</t>
  </si>
  <si>
    <t xml:space="preserve">External interfaces defined (signals, protocols, data formats, electrical/mechanical)</t>
  </si>
  <si>
    <t xml:space="preserve">2.5</t>
  </si>
  <si>
    <t xml:space="preserve">Environmental and operating conditions defined (temperature, vibration, EMC, lifetime)</t>
  </si>
  <si>
    <t xml:space="preserve">2.6</t>
  </si>
  <si>
    <t xml:space="preserve">Applicable standards, regulations, and customer-specific requirements included</t>
  </si>
  <si>
    <t xml:space="preserve">2.7</t>
  </si>
  <si>
    <t xml:space="preserve">Requirements grouped logically; no orphans outside the structure</t>
  </si>
  <si>
    <t xml:space="preserve">3</t>
  </si>
  <si>
    <t xml:space="preserve">Analysis (correctness and feasibility)</t>
  </si>
  <si>
    <t xml:space="preserve">3.1</t>
  </si>
  <si>
    <t xml:space="preserve">Technically feasible within known constraints (cost, hardware, schedule)</t>
  </si>
  <si>
    <t xml:space="preserve">3.2</t>
  </si>
  <si>
    <t xml:space="preserve">Consistent: no conflicts or duplicates between requirements</t>
  </si>
  <si>
    <t xml:space="preserve">3.3</t>
  </si>
  <si>
    <t xml:space="preserve">Priorities/criticality assigned (incl. safety and cybersecurity relevance)</t>
  </si>
  <si>
    <t xml:space="preserve">3.4</t>
  </si>
  <si>
    <t xml:space="preserve">Open points, TBDs, and assumptions listed and tracked to closure</t>
  </si>
  <si>
    <t xml:space="preserve">3.5</t>
  </si>
  <si>
    <t xml:space="preserve">Impact on operating environment analyzed (vehicle, neighboring systems, users)</t>
  </si>
  <si>
    <t xml:space="preserve">4</t>
  </si>
  <si>
    <t xml:space="preserve">Traceability and consistency</t>
  </si>
  <si>
    <t xml:space="preserve">4.1</t>
  </si>
  <si>
    <t xml:space="preserve">Each system requirement traces up to a stakeholder/customer requirement</t>
  </si>
  <si>
    <t xml:space="preserve">4.2</t>
  </si>
  <si>
    <t xml:space="preserve">Each system requirement traces down to architecture or SW/HW requirements</t>
  </si>
  <si>
    <t xml:space="preserve">4.3</t>
  </si>
  <si>
    <t xml:space="preserve">Each system requirement links to a verification criterion or test case (SYS.5 / SYS.4)</t>
  </si>
  <si>
    <t xml:space="preserve">4.4</t>
  </si>
  <si>
    <t xml:space="preserve">No suspect or broken links; no stakeholder requirement left uncovered</t>
  </si>
  <si>
    <t xml:space="preserve">4.5</t>
  </si>
  <si>
    <t xml:space="preserve">Coverage reviewed: no gold-plating (requirements without parent) and no gaps</t>
  </si>
  <si>
    <t xml:space="preserve">5</t>
  </si>
  <si>
    <t xml:space="preserve">Verification criteria</t>
  </si>
  <si>
    <t xml:space="preserve">5.1</t>
  </si>
  <si>
    <t xml:space="preserve">Pass/fail criteria defined or derivable for every requirement</t>
  </si>
  <si>
    <t xml:space="preserve">5.2</t>
  </si>
  <si>
    <t xml:space="preserve">Test method identified (test, analysis, inspection, simulation)</t>
  </si>
  <si>
    <t xml:space="preserve">6</t>
  </si>
  <si>
    <t xml:space="preserve">Communication and baselining</t>
  </si>
  <si>
    <t xml:space="preserve">6.1</t>
  </si>
  <si>
    <t xml:space="preserve">Requirements agreed with all affected parties (customer, SW, HW, safety, security, test)</t>
  </si>
  <si>
    <t xml:space="preserve">6.2</t>
  </si>
  <si>
    <t xml:space="preserve">Review participants and roles documented</t>
  </si>
  <si>
    <t xml:space="preserve">6.3</t>
  </si>
  <si>
    <t xml:space="preserve">Findings recorded with severity, owner, and due date</t>
  </si>
  <si>
    <t xml:space="preserve">6.4</t>
  </si>
  <si>
    <t xml:space="preserve">Review result documented (accepted / accepted with changes / rejected)</t>
  </si>
  <si>
    <t xml:space="preserve">6.5</t>
  </si>
  <si>
    <t xml:space="preserve">Changes controlled and baseline created after approval</t>
  </si>
  <si>
    <t xml:space="preserve">7</t>
  </si>
  <si>
    <t xml:space="preserve">Cross-cutting (if applicable)</t>
  </si>
  <si>
    <t xml:space="preserve">7.1</t>
  </si>
  <si>
    <t xml:space="preserve">Safety requirements (ISO 26262) identified and consistent with safety concept</t>
  </si>
  <si>
    <t xml:space="preserve">7.2</t>
  </si>
  <si>
    <t xml:space="preserve">Cybersecurity requirements (ISO/SAE 21434) identified and traced to TARA results</t>
  </si>
  <si>
    <t xml:space="preserve">7.3</t>
  </si>
  <si>
    <t xml:space="preserve">Variant and configuration dependencies clearly marked</t>
  </si>
  <si>
    <t xml:space="preserve">SYS.3  System Architectural Design</t>
  </si>
  <si>
    <t xml:space="preserve">SYS.3.01</t>
  </si>
  <si>
    <t xml:space="preserve">System architecture defined: system elements, their properties, and decomposition documented</t>
  </si>
  <si>
    <t xml:space="preserve">SYS.3.02</t>
  </si>
  <si>
    <t xml:space="preserve">All system requirements allocated to system elements</t>
  </si>
  <si>
    <t xml:space="preserve">SYS.3.03</t>
  </si>
  <si>
    <t xml:space="preserve">Interfaces between system elements defined (signals, protocols, timing, electrical/mechanical)</t>
  </si>
  <si>
    <t xml:space="preserve">SYS.3.04</t>
  </si>
  <si>
    <t xml:space="preserve">Dynamic behavior described (states, modes, interaction and sequences between elements)</t>
  </si>
  <si>
    <t xml:space="preserve">SYS.3.05</t>
  </si>
  <si>
    <t xml:space="preserve">Alternative architectures evaluated against defined criteria (cost, feasibility, risks, reuse); decision documented</t>
  </si>
  <si>
    <t xml:space="preserve">SYS.3.06</t>
  </si>
  <si>
    <t xml:space="preserve">Bidirectional traceability: system requirements &lt;-&gt; system architecture elements</t>
  </si>
  <si>
    <t xml:space="preserve">SYS.3.07</t>
  </si>
  <si>
    <t xml:space="preserve">Architecture is consistent with system requirements (no gaps, no unallocated or orphan elements)</t>
  </si>
  <si>
    <t xml:space="preserve">SYS.3.08</t>
  </si>
  <si>
    <t xml:space="preserve">Safety and cybersecurity architecture aspects (e.g. ISO 26262, ISO/SAE 21434) considered and consistent</t>
  </si>
  <si>
    <t xml:space="preserve">SYS.3.09</t>
  </si>
  <si>
    <t xml:space="preserve">Architecture agreed with and communicated to all affected parties</t>
  </si>
  <si>
    <t xml:space="preserve">SYS.3.10</t>
  </si>
  <si>
    <t xml:space="preserve">Architecture work products under change and configuration control</t>
  </si>
  <si>
    <t xml:space="preserve">SYS.4  System Integration and Integration Test</t>
  </si>
  <si>
    <t xml:space="preserve">SYS.4.01</t>
  </si>
  <si>
    <t xml:space="preserve">System integration strategy defined (integration sequence, element dependencies, environment)</t>
  </si>
  <si>
    <t xml:space="preserve">SYS.4.02</t>
  </si>
  <si>
    <t xml:space="preserve">Integration test strategy defined incl. regression strategy and test-case selection criteria</t>
  </si>
  <si>
    <t xml:space="preserve">SYS.4.03</t>
  </si>
  <si>
    <t xml:space="preserve">Integration test specification developed: test cases with inputs, expected results, pass/fail criteria</t>
  </si>
  <si>
    <t xml:space="preserve">SYS.4.04</t>
  </si>
  <si>
    <t xml:space="preserve">Test cases cover system architecture interfaces and dynamic behavior</t>
  </si>
  <si>
    <t xml:space="preserve">SYS.4.05</t>
  </si>
  <si>
    <t xml:space="preserve">System elements integrated in line with the integration strategy</t>
  </si>
  <si>
    <t xml:space="preserve">SYS.4.06</t>
  </si>
  <si>
    <t xml:space="preserve">Test cases selected per strategy and test environment is documented</t>
  </si>
  <si>
    <t xml:space="preserve">SYS.4.07</t>
  </si>
  <si>
    <t xml:space="preserve">Integration tests performed and results recorded (incl. deviations and failures)</t>
  </si>
  <si>
    <t xml:space="preserve">SYS.4.08</t>
  </si>
  <si>
    <t xml:space="preserve">Bidirectional traceability: architecture elements &lt;-&gt; test cases &lt;-&gt; test results</t>
  </si>
  <si>
    <t xml:space="preserve">SYS.4.09</t>
  </si>
  <si>
    <t xml:space="preserve">Consistency between architecture and integration test specification verified</t>
  </si>
  <si>
    <t xml:space="preserve">SYS.4.10</t>
  </si>
  <si>
    <t xml:space="preserve">Test results summarized and communicated to affected parties; failures raised as problems (SUP.9)</t>
  </si>
  <si>
    <t xml:space="preserve">SYS.5  System Qualification Test</t>
  </si>
  <si>
    <t xml:space="preserve">SYS.5.01</t>
  </si>
  <si>
    <t xml:space="preserve">System qualification test strategy defined incl. regression strategy</t>
  </si>
  <si>
    <t xml:space="preserve">SYS.5.02</t>
  </si>
  <si>
    <t xml:space="preserve">Test specification developed: test cases with inputs, expected results, pass/fail criteria</t>
  </si>
  <si>
    <t xml:space="preserve">SYS.5.03</t>
  </si>
  <si>
    <t xml:space="preserve">Every system requirement covered by at least one test case (or justified alternative verification)</t>
  </si>
  <si>
    <t xml:space="preserve">SYS.5.04</t>
  </si>
  <si>
    <t xml:space="preserve">Test cases selected per strategy; test environment and configuration documented</t>
  </si>
  <si>
    <t xml:space="preserve">SYS.5.05</t>
  </si>
  <si>
    <t xml:space="preserve">Integrated system tested; results recorded with software/hardware versions</t>
  </si>
  <si>
    <t xml:space="preserve">SYS.5.06</t>
  </si>
  <si>
    <t xml:space="preserve">Bidirectional traceability: system requirements &lt;-&gt; test cases &lt;-&gt; test results</t>
  </si>
  <si>
    <t xml:space="preserve">SYS.5.07</t>
  </si>
  <si>
    <t xml:space="preserve">Consistency between system requirements and test specification verified</t>
  </si>
  <si>
    <t xml:space="preserve">SYS.5.08</t>
  </si>
  <si>
    <t xml:space="preserve">Failed tests, deviations, and waivers documented and tracked to resolution</t>
  </si>
  <si>
    <t xml:space="preserve">SYS.5.09</t>
  </si>
  <si>
    <t xml:space="preserve">Results summarized and communicated to affected parties</t>
  </si>
  <si>
    <t xml:space="preserve">SWE.1  Software Requirements Analysis</t>
  </si>
  <si>
    <t xml:space="preserve">SWE.1.01</t>
  </si>
  <si>
    <t xml:space="preserve">Software requirements specified from system requirements and system architecture (functional and non-functional)</t>
  </si>
  <si>
    <t xml:space="preserve">SWE.1.02</t>
  </si>
  <si>
    <t xml:space="preserve">Requirements structured and each is atomic, unambiguous, and uniquely identified</t>
  </si>
  <si>
    <t xml:space="preserve">SWE.1.03</t>
  </si>
  <si>
    <t xml:space="preserve">Requirements analyzed for correctness, technical feasibility, and verifiability</t>
  </si>
  <si>
    <t xml:space="preserve">SWE.1.04</t>
  </si>
  <si>
    <t xml:space="preserve">Impact on operating environment (HW, other software, users) analyzed</t>
  </si>
  <si>
    <t xml:space="preserve">SWE.1.05</t>
  </si>
  <si>
    <t xml:space="preserve">Requirements prioritized and categorized (incl. safety and cybersecurity relevance)</t>
  </si>
  <si>
    <t xml:space="preserve">SWE.1.06</t>
  </si>
  <si>
    <t xml:space="preserve">Requirements evaluated and updated when system requirements or constraints change</t>
  </si>
  <si>
    <t xml:space="preserve">SWE.1.07</t>
  </si>
  <si>
    <t xml:space="preserve">Bidirectional traceability: system requirements and architecture &lt;-&gt; software requirements</t>
  </si>
  <si>
    <t xml:space="preserve">SWE.1.08</t>
  </si>
  <si>
    <t xml:space="preserve">Consistency between software requirements and system requirements/architecture verified</t>
  </si>
  <si>
    <t xml:space="preserve">SWE.1.09</t>
  </si>
  <si>
    <t xml:space="preserve">Agreed software requirements communicated to all affected parties</t>
  </si>
  <si>
    <t xml:space="preserve">SWE.1.10</t>
  </si>
  <si>
    <t xml:space="preserve">Verification criteria derivable for each requirement (feeds SWE.6)</t>
  </si>
  <si>
    <t xml:space="preserve">SWE.2  Software Architectural Design</t>
  </si>
  <si>
    <t xml:space="preserve">SWE.2.01</t>
  </si>
  <si>
    <t xml:space="preserve">Software architecture defined: components, hierarchy, and responsibilities documented</t>
  </si>
  <si>
    <t xml:space="preserve">SWE.2.02</t>
  </si>
  <si>
    <t xml:space="preserve">All software requirements allocated to software components</t>
  </si>
  <si>
    <t xml:space="preserve">SWE.2.03</t>
  </si>
  <si>
    <t xml:space="preserve">Interfaces of software components defined (data, calls, timing, ranges)</t>
  </si>
  <si>
    <t xml:space="preserve">SWE.2.04</t>
  </si>
  <si>
    <t xml:space="preserve">Dynamic behavior described (tasks, scheduling, interrupts, state handling, initialization/shutdown)</t>
  </si>
  <si>
    <t xml:space="preserve">SWE.2.05</t>
  </si>
  <si>
    <t xml:space="preserve">Resource consumption objectives defined (ROM, RAM, runtime/CPU, stack, NVM)</t>
  </si>
  <si>
    <t xml:space="preserve">SWE.2.06</t>
  </si>
  <si>
    <t xml:space="preserve">Alternative architectures evaluated; design decisions and rationale documented</t>
  </si>
  <si>
    <t xml:space="preserve">SWE.2.07</t>
  </si>
  <si>
    <t xml:space="preserve">Architecture covers design principles (modularity, encapsulation, reuse, freedom from interference where needed)</t>
  </si>
  <si>
    <t xml:space="preserve">SWE.2.08</t>
  </si>
  <si>
    <t xml:space="preserve">Bidirectional traceability: software requirements &lt;-&gt; software architecture</t>
  </si>
  <si>
    <t xml:space="preserve">SWE.2.09</t>
  </si>
  <si>
    <t xml:space="preserve">Consistency between software architecture and requirements verified</t>
  </si>
  <si>
    <t xml:space="preserve">SWE.2.10</t>
  </si>
  <si>
    <t xml:space="preserve">Architecture communicated to all affected parties</t>
  </si>
  <si>
    <t xml:space="preserve">SWE.3  Software Detailed Design and Unit Construction</t>
  </si>
  <si>
    <t xml:space="preserve">SWE.3.01</t>
  </si>
  <si>
    <t xml:space="preserve">Detailed design developed for each software component, down to units</t>
  </si>
  <si>
    <t xml:space="preserve">SWE.3.02</t>
  </si>
  <si>
    <t xml:space="preserve">Interfaces of software units defined (parameters, types, ranges, return/error handling)</t>
  </si>
  <si>
    <t xml:space="preserve">SWE.3.03</t>
  </si>
  <si>
    <t xml:space="preserve">Dynamic behavior of units described where relevant (algorithms, state machines, sequences)</t>
  </si>
  <si>
    <t xml:space="preserve">SWE.3.04</t>
  </si>
  <si>
    <t xml:space="preserve">Detailed design evaluated for interoperability, interfaces, and compliance with architecture</t>
  </si>
  <si>
    <t xml:space="preserve">SWE.3.05</t>
  </si>
  <si>
    <t xml:space="preserve">Software units implemented according to detailed design and coding guidelines</t>
  </si>
  <si>
    <t xml:space="preserve">SWE.3.06</t>
  </si>
  <si>
    <t xml:space="preserve">Coding guidelines (e.g. MISRA) defined, applied, and deviations justified</t>
  </si>
  <si>
    <t xml:space="preserve">SWE.3.07</t>
  </si>
  <si>
    <t xml:space="preserve">Bidirectional traceability: architecture &lt;-&gt; detailed design &lt;-&gt; source code units</t>
  </si>
  <si>
    <t xml:space="preserve">SWE.3.08</t>
  </si>
  <si>
    <t xml:space="preserve">Consistency between detailed design and architecture verified</t>
  </si>
  <si>
    <t xml:space="preserve">SWE.3.09</t>
  </si>
  <si>
    <t xml:space="preserve">Detailed design and units communicated to all affected parties</t>
  </si>
  <si>
    <t xml:space="preserve">SWE.4  Software Unit Verification</t>
  </si>
  <si>
    <t xml:space="preserve">SWE.4.01</t>
  </si>
  <si>
    <t xml:space="preserve">Unit verification strategy defined incl. regression strategy</t>
  </si>
  <si>
    <t xml:space="preserve">SWE.4.02</t>
  </si>
  <si>
    <t xml:space="preserve">Unit verification criteria defined (test cases, static analysis rules, coverage targets)</t>
  </si>
  <si>
    <t xml:space="preserve">SWE.4.03</t>
  </si>
  <si>
    <t xml:space="preserve">Static verification performed (e.g. static analysis, code review) and results recorded</t>
  </si>
  <si>
    <t xml:space="preserve">SWE.4.04</t>
  </si>
  <si>
    <t xml:space="preserve">Unit tests specified and performed; coverage measured against agreed criteria</t>
  </si>
  <si>
    <t xml:space="preserve">SWE.4.06</t>
  </si>
  <si>
    <t xml:space="preserve">Bidirectional traceability: detailed design &lt;-&gt; unit tests and verification results</t>
  </si>
  <si>
    <t xml:space="preserve">SWE.4.07</t>
  </si>
  <si>
    <t xml:space="preserve">Consistency between detailed design and unit verification specification verified</t>
  </si>
  <si>
    <t xml:space="preserve">SWE.4.08</t>
  </si>
  <si>
    <t xml:space="preserve">Results summarized and communicated; failures raised as problems (SUP.9)</t>
  </si>
  <si>
    <t xml:space="preserve">SWE.5  Software Integration and Integration Test</t>
  </si>
  <si>
    <t xml:space="preserve">SWE.5.01</t>
  </si>
  <si>
    <t xml:space="preserve">Software integration strategy defined (integration sequence, build and dependency handling)</t>
  </si>
  <si>
    <t xml:space="preserve">SWE.5.02</t>
  </si>
  <si>
    <t xml:space="preserve">Integration test strategy defined incl. regression strategy and test-case selection</t>
  </si>
  <si>
    <t xml:space="preserve">SWE.5.03</t>
  </si>
  <si>
    <t xml:space="preserve">Integration test specification developed: cases cover architecture interfaces and dynamic behavior</t>
  </si>
  <si>
    <t xml:space="preserve">SWE.5.04</t>
  </si>
  <si>
    <t xml:space="preserve">Software units/components integrated per strategy; integrated builds reproducible</t>
  </si>
  <si>
    <t xml:space="preserve">SWE.5.05</t>
  </si>
  <si>
    <t xml:space="preserve">Test cases selected per strategy; test environment documented</t>
  </si>
  <si>
    <t xml:space="preserve">SWE.5.06</t>
  </si>
  <si>
    <t xml:space="preserve">Integration tests performed and results recorded</t>
  </si>
  <si>
    <t xml:space="preserve">SWE.5.07</t>
  </si>
  <si>
    <t xml:space="preserve">Bidirectional traceability: architecture &lt;-&gt; integration test cases &lt;-&gt; results</t>
  </si>
  <si>
    <t xml:space="preserve">SWE.5.08</t>
  </si>
  <si>
    <t xml:space="preserve">SWE.5.09</t>
  </si>
  <si>
    <t xml:space="preserve">SWE.6  Software Qualification Test</t>
  </si>
  <si>
    <t xml:space="preserve">SWE.6.01</t>
  </si>
  <si>
    <t xml:space="preserve">Software qualification test strategy defined incl. regression strategy</t>
  </si>
  <si>
    <t xml:space="preserve">SWE.6.02</t>
  </si>
  <si>
    <t xml:space="preserve">Test specification developed: cases with inputs, expected results, pass/fail criteria</t>
  </si>
  <si>
    <t xml:space="preserve">SWE.6.03</t>
  </si>
  <si>
    <t xml:space="preserve">Every software requirement covered by at least one test case</t>
  </si>
  <si>
    <t xml:space="preserve">SWE.6.04</t>
  </si>
  <si>
    <t xml:space="preserve">Test cases selected per strategy; test environment and software version documented</t>
  </si>
  <si>
    <t xml:space="preserve">SWE.6.05</t>
  </si>
  <si>
    <t xml:space="preserve">Integrated software tested against software requirements; results recorded</t>
  </si>
  <si>
    <t xml:space="preserve">SWE.6.06</t>
  </si>
  <si>
    <t xml:space="preserve">Bidirectional traceability: software requirements &lt;-&gt; test cases &lt;-&gt; results</t>
  </si>
  <si>
    <t xml:space="preserve">SWE.6.07</t>
  </si>
  <si>
    <t xml:space="preserve">Consistency between software requirements and qualification test specification verified</t>
  </si>
  <si>
    <t xml:space="preserve">SWE.6.08</t>
  </si>
  <si>
    <t xml:space="preserve">Failed tests and deviations tracked to resolution</t>
  </si>
  <si>
    <t xml:space="preserve">SWE.6.09</t>
  </si>
  <si>
    <t xml:space="preserve">SUP.1  Quality Assurance</t>
  </si>
  <si>
    <t xml:space="preserve">SUP.1.01</t>
  </si>
  <si>
    <t xml:space="preserve">QA strategy developed, implemented, and kept independent of the project work</t>
  </si>
  <si>
    <t xml:space="preserve">SUP.1.02</t>
  </si>
  <si>
    <t xml:space="preserve">QA plan covers work products and process activities to be assured</t>
  </si>
  <si>
    <t xml:space="preserve">SUP.1.03</t>
  </si>
  <si>
    <t xml:space="preserve">Work products assured against defined criteria; evidence documented</t>
  </si>
  <si>
    <t xml:space="preserve">SUP.1.04</t>
  </si>
  <si>
    <t xml:space="preserve">Process activities assured against plans and defined processes; evidence documented</t>
  </si>
  <si>
    <t xml:space="preserve">SUP.1.05</t>
  </si>
  <si>
    <t xml:space="preserve">QA results summarized and communicated to affected parties</t>
  </si>
  <si>
    <t xml:space="preserve">SUP.1.06</t>
  </si>
  <si>
    <t xml:space="preserve">Non-conformances recorded, tracked, and resolved (incl. owner and due date)</t>
  </si>
  <si>
    <t xml:space="preserve">SUP.1.07</t>
  </si>
  <si>
    <t xml:space="preserve">Escalation mechanism implemented and used for unresolved non-conformances</t>
  </si>
  <si>
    <t xml:space="preserve">SUP.1.08</t>
  </si>
  <si>
    <t xml:space="preserve">QA has direct access to higher management where required</t>
  </si>
  <si>
    <t xml:space="preserve">SUP.8  Configuration Management</t>
  </si>
  <si>
    <t xml:space="preserve">SUP.8.01</t>
  </si>
  <si>
    <t xml:space="preserve">CM strategy developed (scope, tools, responsibilities, naming)</t>
  </si>
  <si>
    <t xml:space="preserve">SUP.8.02</t>
  </si>
  <si>
    <t xml:space="preserve">Configuration items identified with unique identification and ownership</t>
  </si>
  <si>
    <t xml:space="preserve">SUP.8.03</t>
  </si>
  <si>
    <t xml:space="preserve">Branch management strategy defined and applied</t>
  </si>
  <si>
    <t xml:space="preserve">SUP.8.04</t>
  </si>
  <si>
    <t xml:space="preserve">Baselines established for releases and key milestones; contents reproducible</t>
  </si>
  <si>
    <t xml:space="preserve">SUP.8.05</t>
  </si>
  <si>
    <t xml:space="preserve">CM status reported; changes to configuration items traceable</t>
  </si>
  <si>
    <t xml:space="preserve">SUP.8.06</t>
  </si>
  <si>
    <t xml:space="preserve">Information about configuration items verified (completeness, consistency)</t>
  </si>
  <si>
    <t xml:space="preserve">SUP.8.07</t>
  </si>
  <si>
    <t xml:space="preserve">Storage and backup of configuration items and baselines managed and access-controlled</t>
  </si>
  <si>
    <t xml:space="preserve">SUP.8.08</t>
  </si>
  <si>
    <t xml:space="preserve">Release and delivery packages identifiable and reproducible</t>
  </si>
  <si>
    <t xml:space="preserve">SUP.9  Problem Resolution Management</t>
  </si>
  <si>
    <t xml:space="preserve">SUP.9.01</t>
  </si>
  <si>
    <t xml:space="preserve">Problem resolution strategy developed (classification, severity, workflow)</t>
  </si>
  <si>
    <t xml:space="preserve">SUP.9.02</t>
  </si>
  <si>
    <t xml:space="preserve">Problems identified and recorded with unique ID and sufficient information</t>
  </si>
  <si>
    <t xml:space="preserve">SUP.9.03</t>
  </si>
  <si>
    <t xml:space="preserve">Problem status recorded and kept current</t>
  </si>
  <si>
    <t xml:space="preserve">SUP.9.04</t>
  </si>
  <si>
    <t xml:space="preserve">Cause diagnosed and impact determined (affected products, items, and customers)</t>
  </si>
  <si>
    <t xml:space="preserve">SUP.9.05</t>
  </si>
  <si>
    <t xml:space="preserve">Urgent resolution actions authorized where necessary</t>
  </si>
  <si>
    <t xml:space="preserve">SUP.9.06</t>
  </si>
  <si>
    <t xml:space="preserve">Alert notifications raised to affected parties</t>
  </si>
  <si>
    <t xml:space="preserve">SUP.9.07</t>
  </si>
  <si>
    <t xml:space="preserve">Change requests initiated for problems requiring changes (SUP.10)</t>
  </si>
  <si>
    <t xml:space="preserve">SUP.9.08</t>
  </si>
  <si>
    <t xml:space="preserve">Problems tracked to closure with verified resolution</t>
  </si>
  <si>
    <t xml:space="preserve">SUP.9.09</t>
  </si>
  <si>
    <t xml:space="preserve">Problem trends analyzed and used for improvement</t>
  </si>
  <si>
    <t xml:space="preserve">SUP.10  Change Request Management</t>
  </si>
  <si>
    <t xml:space="preserve">SUP.10.01</t>
  </si>
  <si>
    <t xml:space="preserve">Change request management strategy developed (workflow, roles, tooling)</t>
  </si>
  <si>
    <t xml:space="preserve">SUP.10.02</t>
  </si>
  <si>
    <t xml:space="preserve">Change requests identified and recorded with unique ID and status</t>
  </si>
  <si>
    <t xml:space="preserve">SUP.10.03</t>
  </si>
  <si>
    <t xml:space="preserve">Change requests analyzed and assessed (impact on work products, effort, risk)</t>
  </si>
  <si>
    <t xml:space="preserve">SUP.10.04</t>
  </si>
  <si>
    <t xml:space="preserve">Approval obtained before implementation; priority and release assigned</t>
  </si>
  <si>
    <t xml:space="preserve">SUP.10.05</t>
  </si>
  <si>
    <t xml:space="preserve">Implementation of the change reviewed and verified</t>
  </si>
  <si>
    <t xml:space="preserve">SUP.10.06</t>
  </si>
  <si>
    <t xml:space="preserve">Change requests tracked to closure; status communicated</t>
  </si>
  <si>
    <t xml:space="preserve">SUP.10.07</t>
  </si>
  <si>
    <t xml:space="preserve">Bidirectional traceability: change requests &lt;-&gt; affected work products and releases</t>
  </si>
  <si>
    <t xml:space="preserve">MAN.3  Project Management</t>
  </si>
  <si>
    <t xml:space="preserve">MAN.3.01</t>
  </si>
  <si>
    <t xml:space="preserve">Scope of work defined (deliverables, constraints, assumptions)</t>
  </si>
  <si>
    <t xml:space="preserve">MAN.3.02</t>
  </si>
  <si>
    <t xml:space="preserve">Project life cycle and approach defined and consistent with the scope</t>
  </si>
  <si>
    <t xml:space="preserve">MAN.3.03</t>
  </si>
  <si>
    <t xml:space="preserve">Feasibility of the project evaluated against resources, time, and technology</t>
  </si>
  <si>
    <t xml:space="preserve">MAN.3.04</t>
  </si>
  <si>
    <t xml:space="preserve">Effort and resource estimates defined, monitored, and adjusted</t>
  </si>
  <si>
    <t xml:space="preserve">MAN.3.05</t>
  </si>
  <si>
    <t xml:space="preserve">Required skills, knowledge, and experience identified and ensured</t>
  </si>
  <si>
    <t xml:space="preserve">MAN.3.06</t>
  </si>
  <si>
    <t xml:space="preserve">Project interfaces (customer, suppliers, other teams) identified and monitored</t>
  </si>
  <si>
    <t xml:space="preserve">MAN.3.07</t>
  </si>
  <si>
    <t xml:space="preserve">Project schedule established with milestones, dependencies, and critical path</t>
  </si>
  <si>
    <t xml:space="preserve">MAN.3.08</t>
  </si>
  <si>
    <t xml:space="preserve">Plans are consistent with each other (scope, schedule, estimates, resources)</t>
  </si>
  <si>
    <t xml:space="preserve">MAN.3.09</t>
  </si>
  <si>
    <t xml:space="preserve">Progress reviewed regularly; status reported to affected parties</t>
  </si>
  <si>
    <t xml:space="preserve">MAN.3.10</t>
  </si>
  <si>
    <t xml:space="preserve">Risks identified, analyzed, and monitored; mitigation actions tracked</t>
  </si>
  <si>
    <t xml:space="preserve">MAN.3.11</t>
  </si>
  <si>
    <t xml:space="preserve">Corrective actions defined and tracked to closure when deviations occur</t>
  </si>
  <si>
    <t xml:space="preserve">ACQ.4  Supplier Monitoring</t>
  </si>
  <si>
    <t xml:space="preserve">ACQ.4.01</t>
  </si>
  <si>
    <t xml:space="preserve">Joint processes, interfaces, and communication with the supplier agreed and documented</t>
  </si>
  <si>
    <t xml:space="preserve">ACQ.4.02</t>
  </si>
  <si>
    <t xml:space="preserve">All relevant information exchanged with the supplier as agreed</t>
  </si>
  <si>
    <t xml:space="preserve">ACQ.4.03</t>
  </si>
  <si>
    <t xml:space="preserve">Technical development reviewed with the supplier (milestones, work products)</t>
  </si>
  <si>
    <t xml:space="preserve">ACQ.4.04</t>
  </si>
  <si>
    <t xml:space="preserve">Progress of the supplier reviewed against the agreed plan</t>
  </si>
  <si>
    <t xml:space="preserve">ACQ.4.05</t>
  </si>
  <si>
    <t xml:space="preserve">Deviations identified; corrective actions agreed and tracked to closure</t>
  </si>
  <si>
    <t xml:space="preserve">ACQ.4.06</t>
  </si>
  <si>
    <t xml:space="preserve">Supplier deliverables checked against agreed acceptance criteria</t>
  </si>
  <si>
    <t xml:space="preserve">ACQ.4.07</t>
  </si>
  <si>
    <t xml:space="preserve">Supplier-relevant cybersecurity and safety responsibilities defined and monitored (e.g. CIAs, DIAs)</t>
  </si>
  <si>
    <t xml:space="preserve">GP2.1.1</t>
  </si>
  <si>
    <t xml:space="preserve">Identify the objectives for the performance of the process (performance, work product requirements, time and resource constraints)</t>
  </si>
  <si>
    <t xml:space="preserve">GP2.1.2</t>
  </si>
  <si>
    <t xml:space="preserve">Plan the performance of the process to fulfill the identified objectives</t>
  </si>
  <si>
    <t xml:space="preserve">GP2.1.3</t>
  </si>
  <si>
    <t xml:space="preserve">Monitor the performance of the process against the plan</t>
  </si>
  <si>
    <t xml:space="preserve">GP2.1.4</t>
  </si>
  <si>
    <t xml:space="preserve">Adjust the performance of the process when deviations occur</t>
  </si>
  <si>
    <t xml:space="preserve">GP2.1.5</t>
  </si>
  <si>
    <t xml:space="preserve">Define responsibilities and authorities for performing the process</t>
  </si>
  <si>
    <t xml:space="preserve">GP2.1.6</t>
  </si>
  <si>
    <t xml:space="preserve">Identify, prepare, and make available resources, information, and infrastructure</t>
  </si>
  <si>
    <t xml:space="preserve">GP2.1.7</t>
  </si>
  <si>
    <t xml:space="preserve">Manage the interfaces between involved parties</t>
  </si>
  <si>
    <t xml:space="preserve">GP2.2.1</t>
  </si>
  <si>
    <t xml:space="preserve">Define the requirements for the work products (content, structure, quality criteria)</t>
  </si>
  <si>
    <t xml:space="preserve">GP2.2.2</t>
  </si>
  <si>
    <t xml:space="preserve">Define the requirements for documentation and control of the work products (identification, versioning, approval)</t>
  </si>
  <si>
    <t xml:space="preserve">GP2.2.3</t>
  </si>
  <si>
    <t xml:space="preserve">Identify, document, and control the work products</t>
  </si>
  <si>
    <t xml:space="preserve">GP2.2.4</t>
  </si>
  <si>
    <t xml:space="preserve">Review and adjust work products to meet the defined requirements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</si>
</sst>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595959"/>
      </font>
      <fill>
        <patternFill>
          <bgColor rgb="FFEDEDED"/>
        </patternFill>
      </fill>
    </dxf>
    <dxf>
      <fill>
        <patternFill patternType="solid">
          <fgColor rgb="FFD9E1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5"/>
      <rgbColor rgb="FFEDEDED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SPICE_Complete_Review_Checklist.xlsx" TargetMode="External"/><Relationship Id="rId2" Type="http://schemas.openxmlformats.org/officeDocument/2006/relationships/hyperlink" Target="ASPICE_Complete_Review_Checklist.xlsx" TargetMode="External"/><Relationship Id="rId3" Type="http://schemas.openxmlformats.org/officeDocument/2006/relationships/hyperlink" Target="ASPICE_Complete_Review_Checklist.xlsx" TargetMode="External"/><Relationship Id="rId4" Type="http://schemas.openxmlformats.org/officeDocument/2006/relationships/hyperlink" Target="ASPICE_Complete_Review_Checklist.xlsx" TargetMode="External"/><Relationship Id="rId5" Type="http://schemas.openxmlformats.org/officeDocument/2006/relationships/hyperlink" Target="ASPICE_Complete_Review_Checklist.xlsx" TargetMode="External"/><Relationship Id="rId6" Type="http://schemas.openxmlformats.org/officeDocument/2006/relationships/hyperlink" Target="ASPICE_Complete_Review_Checklist.xlsx" TargetMode="External"/><Relationship Id="rId7" Type="http://schemas.openxmlformats.org/officeDocument/2006/relationships/hyperlink" Target="ASPICE_Complete_Review_Checklist.xlsx" TargetMode="External"/><Relationship Id="rId8" Type="http://schemas.openxmlformats.org/officeDocument/2006/relationships/hyperlink" Target="ASPICE_Complete_Review_Checklist.xlsx" TargetMode="External"/><Relationship Id="rId9" Type="http://schemas.openxmlformats.org/officeDocument/2006/relationships/hyperlink" Target="ASPICE_Complete_Review_Checklist.xlsx" TargetMode="External"/><Relationship Id="rId10" Type="http://schemas.openxmlformats.org/officeDocument/2006/relationships/hyperlink" Target="ASPICE_Complete_Review_Checklist.xlsx" TargetMode="External"/><Relationship Id="rId11" Type="http://schemas.openxmlformats.org/officeDocument/2006/relationships/hyperlink" Target="ASPICE_Complete_Review_Checklist.xlsx" TargetMode="External"/><Relationship Id="rId12" Type="http://schemas.openxmlformats.org/officeDocument/2006/relationships/hyperlink" Target="ASPICE_Complete_Review_Checklist.xlsx" TargetMode="External"/><Relationship Id="rId13" Type="http://schemas.openxmlformats.org/officeDocument/2006/relationships/hyperlink" Target="ASPICE_Complete_Review_Checklist.xlsx" TargetMode="External"/><Relationship Id="rId14" Type="http://schemas.openxmlformats.org/officeDocument/2006/relationships/hyperlink" Target="ASPICE_Complete_Review_Checklist.xlsx" TargetMode="External"/><Relationship Id="rId15" Type="http://schemas.openxmlformats.org/officeDocument/2006/relationships/hyperlink" Target="ASPICE_Complete_Review_Checklist.xlsx" TargetMode="External"/><Relationship Id="rId16" Type="http://schemas.openxmlformats.org/officeDocument/2006/relationships/hyperlink" Target="ASPICE_Complete_Review_Checklist.xlsx" TargetMode="External"/><Relationship Id="rId17" Type="http://schemas.openxmlformats.org/officeDocument/2006/relationships/hyperlink" Target="ASPICE_Complete_Review_Checklist.xlsx" TargetMode="External"/><Relationship Id="rId18" Type="http://schemas.openxmlformats.org/officeDocument/2006/relationships/hyperlink" Target="ASPICE_Complete_Review_Checklist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9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/>
      <c r="C2" s="3"/>
      <c r="D2" s="3"/>
    </row>
    <row r="3" customFormat="false" ht="15" hidden="false" customHeight="false" outlineLevel="0" collapsed="false">
      <c r="A3" s="2" t="s">
        <v>2</v>
      </c>
      <c r="B3" s="3"/>
      <c r="C3" s="3"/>
      <c r="D3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5" hidden="false" customHeight="false" outlineLevel="0" collapsed="false">
      <c r="A6" s="5" t="s">
        <v>12</v>
      </c>
      <c r="B6" s="6" t="s">
        <v>13</v>
      </c>
      <c r="C6" s="7" t="n">
        <f aca="false">COUNTIF('SYS.1'!$A$6:$A$12,"*.*")</f>
        <v>7</v>
      </c>
      <c r="D6" s="7" t="n">
        <f aca="false">COUNTIF('SYS.1'!$C$6:$C$12,"Pass")</f>
        <v>0</v>
      </c>
      <c r="E6" s="7" t="n">
        <f aca="false">COUNTIF('SYS.1'!$C$6:$C$12,"Fail")</f>
        <v>0</v>
      </c>
      <c r="F6" s="7" t="n">
        <f aca="false">COUNTIF('SYS.1'!$C$6:$C$12,"Open")</f>
        <v>0</v>
      </c>
      <c r="G6" s="7" t="n">
        <f aca="false">COUNTIF('SYS.1'!$C$6:$C$12,"N/A")</f>
        <v>0</v>
      </c>
      <c r="H6" s="7" t="n">
        <f aca="false">C6-SUM(D6:G6)</f>
        <v>7</v>
      </c>
      <c r="I6" s="8" t="n">
        <f aca="false">IF(C6-G6=0,"-",D6/(C6-G6))</f>
        <v>0</v>
      </c>
    </row>
    <row r="7" customFormat="false" ht="15" hidden="false" customHeight="false" outlineLevel="0" collapsed="false">
      <c r="A7" s="5" t="s">
        <v>14</v>
      </c>
      <c r="B7" s="6" t="s">
        <v>15</v>
      </c>
      <c r="C7" s="7" t="n">
        <f aca="false">COUNTIF('SYS.2'!$A$6:$A$46,"*.*")</f>
        <v>34</v>
      </c>
      <c r="D7" s="7" t="n">
        <f aca="false">COUNTIF('SYS.2'!$C$6:$C$46,"Pass")</f>
        <v>0</v>
      </c>
      <c r="E7" s="7" t="n">
        <f aca="false">COUNTIF('SYS.2'!$C$6:$C$46,"Fail")</f>
        <v>0</v>
      </c>
      <c r="F7" s="7" t="n">
        <f aca="false">COUNTIF('SYS.2'!$C$6:$C$46,"Open")</f>
        <v>0</v>
      </c>
      <c r="G7" s="7" t="n">
        <f aca="false">COUNTIF('SYS.2'!$C$6:$C$46,"N/A")</f>
        <v>0</v>
      </c>
      <c r="H7" s="7" t="n">
        <f aca="false">C7-SUM(D7:G7)</f>
        <v>34</v>
      </c>
      <c r="I7" s="8" t="n">
        <f aca="false">IF(C7-G7=0,"-",D7/(C7-G7))</f>
        <v>0</v>
      </c>
    </row>
    <row r="8" customFormat="false" ht="15" hidden="false" customHeight="false" outlineLevel="0" collapsed="false">
      <c r="A8" s="5" t="s">
        <v>16</v>
      </c>
      <c r="B8" s="6" t="s">
        <v>17</v>
      </c>
      <c r="C8" s="7" t="n">
        <f aca="false">COUNTIF('SYS.3'!$A$6:$A$15,"*.*")</f>
        <v>10</v>
      </c>
      <c r="D8" s="7" t="n">
        <f aca="false">COUNTIF('SYS.3'!$C$6:$C$15,"Pass")</f>
        <v>0</v>
      </c>
      <c r="E8" s="7" t="n">
        <f aca="false">COUNTIF('SYS.3'!$C$6:$C$15,"Fail")</f>
        <v>0</v>
      </c>
      <c r="F8" s="7" t="n">
        <f aca="false">COUNTIF('SYS.3'!$C$6:$C$15,"Open")</f>
        <v>0</v>
      </c>
      <c r="G8" s="7" t="n">
        <f aca="false">COUNTIF('SYS.3'!$C$6:$C$15,"N/A")</f>
        <v>0</v>
      </c>
      <c r="H8" s="7" t="n">
        <f aca="false">C8-SUM(D8:G8)</f>
        <v>10</v>
      </c>
      <c r="I8" s="8" t="n">
        <f aca="false">IF(C8-G8=0,"-",D8/(C8-G8))</f>
        <v>0</v>
      </c>
    </row>
    <row r="9" customFormat="false" ht="15" hidden="false" customHeight="false" outlineLevel="0" collapsed="false">
      <c r="A9" s="5" t="s">
        <v>18</v>
      </c>
      <c r="B9" s="6" t="s">
        <v>19</v>
      </c>
      <c r="C9" s="7" t="n">
        <f aca="false">COUNTIF('SYS.4'!$A$6:$A$15,"*.*")</f>
        <v>10</v>
      </c>
      <c r="D9" s="7" t="n">
        <f aca="false">COUNTIF('SYS.4'!$C$6:$C$15,"Pass")</f>
        <v>0</v>
      </c>
      <c r="E9" s="7" t="n">
        <f aca="false">COUNTIF('SYS.4'!$C$6:$C$15,"Fail")</f>
        <v>0</v>
      </c>
      <c r="F9" s="7" t="n">
        <f aca="false">COUNTIF('SYS.4'!$C$6:$C$15,"Open")</f>
        <v>0</v>
      </c>
      <c r="G9" s="7" t="n">
        <f aca="false">COUNTIF('SYS.4'!$C$6:$C$15,"N/A")</f>
        <v>0</v>
      </c>
      <c r="H9" s="7" t="n">
        <f aca="false">C9-SUM(D9:G9)</f>
        <v>10</v>
      </c>
      <c r="I9" s="8" t="n">
        <f aca="false">IF(C9-G9=0,"-",D9/(C9-G9))</f>
        <v>0</v>
      </c>
    </row>
    <row r="10" customFormat="false" ht="15" hidden="false" customHeight="false" outlineLevel="0" collapsed="false">
      <c r="A10" s="5" t="s">
        <v>20</v>
      </c>
      <c r="B10" s="6" t="s">
        <v>21</v>
      </c>
      <c r="C10" s="7" t="n">
        <f aca="false">COUNTIF('SYS.5'!$A$6:$A$14,"*.*")</f>
        <v>9</v>
      </c>
      <c r="D10" s="7" t="n">
        <f aca="false">COUNTIF('SYS.5'!$C$6:$C$14,"Pass")</f>
        <v>0</v>
      </c>
      <c r="E10" s="7" t="n">
        <f aca="false">COUNTIF('SYS.5'!$C$6:$C$14,"Fail")</f>
        <v>0</v>
      </c>
      <c r="F10" s="7" t="n">
        <f aca="false">COUNTIF('SYS.5'!$C$6:$C$14,"Open")</f>
        <v>0</v>
      </c>
      <c r="G10" s="7" t="n">
        <f aca="false">COUNTIF('SYS.5'!$C$6:$C$14,"N/A")</f>
        <v>0</v>
      </c>
      <c r="H10" s="7" t="n">
        <f aca="false">C10-SUM(D10:G10)</f>
        <v>9</v>
      </c>
      <c r="I10" s="8" t="n">
        <f aca="false">IF(C10-G10=0,"-",D10/(C10-G10))</f>
        <v>0</v>
      </c>
    </row>
    <row r="11" customFormat="false" ht="15" hidden="false" customHeight="false" outlineLevel="0" collapsed="false">
      <c r="A11" s="5" t="s">
        <v>22</v>
      </c>
      <c r="B11" s="6" t="s">
        <v>23</v>
      </c>
      <c r="C11" s="7" t="n">
        <f aca="false">COUNTIF('SWE.1'!$A$6:$A$15,"*.*")</f>
        <v>10</v>
      </c>
      <c r="D11" s="7" t="n">
        <f aca="false">COUNTIF('SWE.1'!$C$6:$C$15,"Pass")</f>
        <v>0</v>
      </c>
      <c r="E11" s="7" t="n">
        <f aca="false">COUNTIF('SWE.1'!$C$6:$C$15,"Fail")</f>
        <v>0</v>
      </c>
      <c r="F11" s="7" t="n">
        <f aca="false">COUNTIF('SWE.1'!$C$6:$C$15,"Open")</f>
        <v>0</v>
      </c>
      <c r="G11" s="7" t="n">
        <f aca="false">COUNTIF('SWE.1'!$C$6:$C$15,"N/A")</f>
        <v>0</v>
      </c>
      <c r="H11" s="7" t="n">
        <f aca="false">C11-SUM(D11:G11)</f>
        <v>10</v>
      </c>
      <c r="I11" s="8" t="n">
        <f aca="false">IF(C11-G11=0,"-",D11/(C11-G11))</f>
        <v>0</v>
      </c>
    </row>
    <row r="12" customFormat="false" ht="15" hidden="false" customHeight="false" outlineLevel="0" collapsed="false">
      <c r="A12" s="5" t="s">
        <v>24</v>
      </c>
      <c r="B12" s="6" t="s">
        <v>25</v>
      </c>
      <c r="C12" s="7" t="n">
        <f aca="false">COUNTIF('SWE.2'!$A$6:$A$15,"*.*")</f>
        <v>10</v>
      </c>
      <c r="D12" s="7" t="n">
        <f aca="false">COUNTIF('SWE.2'!$C$6:$C$15,"Pass")</f>
        <v>0</v>
      </c>
      <c r="E12" s="7" t="n">
        <f aca="false">COUNTIF('SWE.2'!$C$6:$C$15,"Fail")</f>
        <v>0</v>
      </c>
      <c r="F12" s="7" t="n">
        <f aca="false">COUNTIF('SWE.2'!$C$6:$C$15,"Open")</f>
        <v>0</v>
      </c>
      <c r="G12" s="7" t="n">
        <f aca="false">COUNTIF('SWE.2'!$C$6:$C$15,"N/A")</f>
        <v>0</v>
      </c>
      <c r="H12" s="7" t="n">
        <f aca="false">C12-SUM(D12:G12)</f>
        <v>10</v>
      </c>
      <c r="I12" s="8" t="n">
        <f aca="false">IF(C12-G12=0,"-",D12/(C12-G12))</f>
        <v>0</v>
      </c>
    </row>
    <row r="13" customFormat="false" ht="15" hidden="false" customHeight="false" outlineLevel="0" collapsed="false">
      <c r="A13" s="5" t="s">
        <v>26</v>
      </c>
      <c r="B13" s="6" t="s">
        <v>27</v>
      </c>
      <c r="C13" s="7" t="n">
        <f aca="false">COUNTIF('SWE.3'!$A$6:$A$14,"*.*")</f>
        <v>9</v>
      </c>
      <c r="D13" s="7" t="n">
        <f aca="false">COUNTIF('SWE.3'!$C$6:$C$14,"Pass")</f>
        <v>0</v>
      </c>
      <c r="E13" s="7" t="n">
        <f aca="false">COUNTIF('SWE.3'!$C$6:$C$14,"Fail")</f>
        <v>0</v>
      </c>
      <c r="F13" s="7" t="n">
        <f aca="false">COUNTIF('SWE.3'!$C$6:$C$14,"Open")</f>
        <v>0</v>
      </c>
      <c r="G13" s="7" t="n">
        <f aca="false">COUNTIF('SWE.3'!$C$6:$C$14,"N/A")</f>
        <v>0</v>
      </c>
      <c r="H13" s="7" t="n">
        <f aca="false">C13-SUM(D13:G13)</f>
        <v>9</v>
      </c>
      <c r="I13" s="8" t="n">
        <f aca="false">IF(C13-G13=0,"-",D13/(C13-G13))</f>
        <v>0</v>
      </c>
    </row>
    <row r="14" customFormat="false" ht="15" hidden="false" customHeight="false" outlineLevel="0" collapsed="false">
      <c r="A14" s="5" t="s">
        <v>28</v>
      </c>
      <c r="B14" s="6" t="s">
        <v>29</v>
      </c>
      <c r="C14" s="7" t="n">
        <f aca="false">COUNTIF('SWE.4'!$A$6:$A$13,"*.*")</f>
        <v>8</v>
      </c>
      <c r="D14" s="7" t="n">
        <f aca="false">COUNTIF('SWE.4'!$C$6:$C$13,"Pass")</f>
        <v>0</v>
      </c>
      <c r="E14" s="7" t="n">
        <f aca="false">COUNTIF('SWE.4'!$C$6:$C$13,"Fail")</f>
        <v>0</v>
      </c>
      <c r="F14" s="7" t="n">
        <f aca="false">COUNTIF('SWE.4'!$C$6:$C$13,"Open")</f>
        <v>0</v>
      </c>
      <c r="G14" s="7" t="n">
        <f aca="false">COUNTIF('SWE.4'!$C$6:$C$13,"N/A")</f>
        <v>0</v>
      </c>
      <c r="H14" s="7" t="n">
        <f aca="false">C14-SUM(D14:G14)</f>
        <v>8</v>
      </c>
      <c r="I14" s="8" t="n">
        <f aca="false">IF(C14-G14=0,"-",D14/(C14-G14))</f>
        <v>0</v>
      </c>
    </row>
    <row r="15" customFormat="false" ht="15" hidden="false" customHeight="false" outlineLevel="0" collapsed="false">
      <c r="A15" s="5" t="s">
        <v>30</v>
      </c>
      <c r="B15" s="6" t="s">
        <v>31</v>
      </c>
      <c r="C15" s="7" t="n">
        <f aca="false">COUNTIF('SWE.5'!$A$6:$A$14,"*.*")</f>
        <v>9</v>
      </c>
      <c r="D15" s="7" t="n">
        <f aca="false">COUNTIF('SWE.5'!$C$6:$C$14,"Pass")</f>
        <v>0</v>
      </c>
      <c r="E15" s="7" t="n">
        <f aca="false">COUNTIF('SWE.5'!$C$6:$C$14,"Fail")</f>
        <v>0</v>
      </c>
      <c r="F15" s="7" t="n">
        <f aca="false">COUNTIF('SWE.5'!$C$6:$C$14,"Open")</f>
        <v>0</v>
      </c>
      <c r="G15" s="7" t="n">
        <f aca="false">COUNTIF('SWE.5'!$C$6:$C$14,"N/A")</f>
        <v>0</v>
      </c>
      <c r="H15" s="7" t="n">
        <f aca="false">C15-SUM(D15:G15)</f>
        <v>9</v>
      </c>
      <c r="I15" s="8" t="n">
        <f aca="false">IF(C15-G15=0,"-",D15/(C15-G15))</f>
        <v>0</v>
      </c>
    </row>
    <row r="16" customFormat="false" ht="15" hidden="false" customHeight="false" outlineLevel="0" collapsed="false">
      <c r="A16" s="5" t="s">
        <v>32</v>
      </c>
      <c r="B16" s="6" t="s">
        <v>33</v>
      </c>
      <c r="C16" s="7" t="n">
        <f aca="false">COUNTIF('SWE.6'!$A$6:$A$14,"*.*")</f>
        <v>9</v>
      </c>
      <c r="D16" s="7" t="n">
        <f aca="false">COUNTIF('SWE.6'!$C$6:$C$14,"Pass")</f>
        <v>0</v>
      </c>
      <c r="E16" s="7" t="n">
        <f aca="false">COUNTIF('SWE.6'!$C$6:$C$14,"Fail")</f>
        <v>0</v>
      </c>
      <c r="F16" s="7" t="n">
        <f aca="false">COUNTIF('SWE.6'!$C$6:$C$14,"Open")</f>
        <v>0</v>
      </c>
      <c r="G16" s="7" t="n">
        <f aca="false">COUNTIF('SWE.6'!$C$6:$C$14,"N/A")</f>
        <v>0</v>
      </c>
      <c r="H16" s="7" t="n">
        <f aca="false">C16-SUM(D16:G16)</f>
        <v>9</v>
      </c>
      <c r="I16" s="8" t="n">
        <f aca="false">IF(C16-G16=0,"-",D16/(C16-G16))</f>
        <v>0</v>
      </c>
    </row>
    <row r="17" customFormat="false" ht="15" hidden="false" customHeight="false" outlineLevel="0" collapsed="false">
      <c r="A17" s="5" t="s">
        <v>34</v>
      </c>
      <c r="B17" s="6" t="s">
        <v>35</v>
      </c>
      <c r="C17" s="7" t="n">
        <f aca="false">COUNTIF('SUP.1'!$A$6:$A$13,"*.*")</f>
        <v>8</v>
      </c>
      <c r="D17" s="7" t="n">
        <f aca="false">COUNTIF('SUP.1'!$C$6:$C$13,"Pass")</f>
        <v>0</v>
      </c>
      <c r="E17" s="7" t="n">
        <f aca="false">COUNTIF('SUP.1'!$C$6:$C$13,"Fail")</f>
        <v>0</v>
      </c>
      <c r="F17" s="7" t="n">
        <f aca="false">COUNTIF('SUP.1'!$C$6:$C$13,"Open")</f>
        <v>0</v>
      </c>
      <c r="G17" s="7" t="n">
        <f aca="false">COUNTIF('SUP.1'!$C$6:$C$13,"N/A")</f>
        <v>0</v>
      </c>
      <c r="H17" s="7" t="n">
        <f aca="false">C17-SUM(D17:G17)</f>
        <v>8</v>
      </c>
      <c r="I17" s="8" t="n">
        <f aca="false">IF(C17-G17=0,"-",D17/(C17-G17))</f>
        <v>0</v>
      </c>
    </row>
    <row r="18" customFormat="false" ht="15" hidden="false" customHeight="false" outlineLevel="0" collapsed="false">
      <c r="A18" s="5" t="s">
        <v>36</v>
      </c>
      <c r="B18" s="6" t="s">
        <v>37</v>
      </c>
      <c r="C18" s="7" t="n">
        <f aca="false">COUNTIF('SUP.8'!$A$6:$A$13,"*.*")</f>
        <v>8</v>
      </c>
      <c r="D18" s="7" t="n">
        <f aca="false">COUNTIF('SUP.8'!$C$6:$C$13,"Pass")</f>
        <v>0</v>
      </c>
      <c r="E18" s="7" t="n">
        <f aca="false">COUNTIF('SUP.8'!$C$6:$C$13,"Fail")</f>
        <v>0</v>
      </c>
      <c r="F18" s="7" t="n">
        <f aca="false">COUNTIF('SUP.8'!$C$6:$C$13,"Open")</f>
        <v>0</v>
      </c>
      <c r="G18" s="7" t="n">
        <f aca="false">COUNTIF('SUP.8'!$C$6:$C$13,"N/A")</f>
        <v>0</v>
      </c>
      <c r="H18" s="7" t="n">
        <f aca="false">C18-SUM(D18:G18)</f>
        <v>8</v>
      </c>
      <c r="I18" s="8" t="n">
        <f aca="false">IF(C18-G18=0,"-",D18/(C18-G18))</f>
        <v>0</v>
      </c>
    </row>
    <row r="19" customFormat="false" ht="15" hidden="false" customHeight="false" outlineLevel="0" collapsed="false">
      <c r="A19" s="5" t="s">
        <v>38</v>
      </c>
      <c r="B19" s="6" t="s">
        <v>39</v>
      </c>
      <c r="C19" s="7" t="n">
        <f aca="false">COUNTIF('SUP.9'!$A$6:$A$14,"*.*")</f>
        <v>9</v>
      </c>
      <c r="D19" s="7" t="n">
        <f aca="false">COUNTIF('SUP.9'!$C$6:$C$14,"Pass")</f>
        <v>0</v>
      </c>
      <c r="E19" s="7" t="n">
        <f aca="false">COUNTIF('SUP.9'!$C$6:$C$14,"Fail")</f>
        <v>0</v>
      </c>
      <c r="F19" s="7" t="n">
        <f aca="false">COUNTIF('SUP.9'!$C$6:$C$14,"Open")</f>
        <v>0</v>
      </c>
      <c r="G19" s="7" t="n">
        <f aca="false">COUNTIF('SUP.9'!$C$6:$C$14,"N/A")</f>
        <v>0</v>
      </c>
      <c r="H19" s="7" t="n">
        <f aca="false">C19-SUM(D19:G19)</f>
        <v>9</v>
      </c>
      <c r="I19" s="8" t="n">
        <f aca="false">IF(C19-G19=0,"-",D19/(C19-G19))</f>
        <v>0</v>
      </c>
    </row>
    <row r="20" customFormat="false" ht="15" hidden="false" customHeight="false" outlineLevel="0" collapsed="false">
      <c r="A20" s="5" t="s">
        <v>40</v>
      </c>
      <c r="B20" s="6" t="s">
        <v>41</v>
      </c>
      <c r="C20" s="7" t="n">
        <f aca="false">COUNTIF('SUP.10'!$A$6:$A$12,"*.*")</f>
        <v>7</v>
      </c>
      <c r="D20" s="7" t="n">
        <f aca="false">COUNTIF('SUP.10'!$C$6:$C$12,"Pass")</f>
        <v>0</v>
      </c>
      <c r="E20" s="7" t="n">
        <f aca="false">COUNTIF('SUP.10'!$C$6:$C$12,"Fail")</f>
        <v>0</v>
      </c>
      <c r="F20" s="7" t="n">
        <f aca="false">COUNTIF('SUP.10'!$C$6:$C$12,"Open")</f>
        <v>0</v>
      </c>
      <c r="G20" s="7" t="n">
        <f aca="false">COUNTIF('SUP.10'!$C$6:$C$12,"N/A")</f>
        <v>0</v>
      </c>
      <c r="H20" s="7" t="n">
        <f aca="false">C20-SUM(D20:G20)</f>
        <v>7</v>
      </c>
      <c r="I20" s="8" t="n">
        <f aca="false">IF(C20-G20=0,"-",D20/(C20-G20))</f>
        <v>0</v>
      </c>
    </row>
    <row r="21" customFormat="false" ht="15" hidden="false" customHeight="false" outlineLevel="0" collapsed="false">
      <c r="A21" s="5" t="s">
        <v>42</v>
      </c>
      <c r="B21" s="6" t="s">
        <v>43</v>
      </c>
      <c r="C21" s="7" t="n">
        <f aca="false">COUNTIF('MAN.3'!$A$6:$A$16,"*.*")</f>
        <v>11</v>
      </c>
      <c r="D21" s="7" t="n">
        <f aca="false">COUNTIF('MAN.3'!$C$6:$C$16,"Pass")</f>
        <v>0</v>
      </c>
      <c r="E21" s="7" t="n">
        <f aca="false">COUNTIF('MAN.3'!$C$6:$C$16,"Fail")</f>
        <v>0</v>
      </c>
      <c r="F21" s="7" t="n">
        <f aca="false">COUNTIF('MAN.3'!$C$6:$C$16,"Open")</f>
        <v>0</v>
      </c>
      <c r="G21" s="7" t="n">
        <f aca="false">COUNTIF('MAN.3'!$C$6:$C$16,"N/A")</f>
        <v>0</v>
      </c>
      <c r="H21" s="7" t="n">
        <f aca="false">C21-SUM(D21:G21)</f>
        <v>11</v>
      </c>
      <c r="I21" s="8" t="n">
        <f aca="false">IF(C21-G21=0,"-",D21/(C21-G21))</f>
        <v>0</v>
      </c>
    </row>
    <row r="22" customFormat="false" ht="15" hidden="false" customHeight="false" outlineLevel="0" collapsed="false">
      <c r="A22" s="5" t="s">
        <v>44</v>
      </c>
      <c r="B22" s="6" t="s">
        <v>45</v>
      </c>
      <c r="C22" s="7" t="n">
        <f aca="false">COUNTIF('ACQ.4'!$A$6:$A$12,"*.*")</f>
        <v>7</v>
      </c>
      <c r="D22" s="7" t="n">
        <f aca="false">COUNTIF('ACQ.4'!$C$6:$C$12,"Pass")</f>
        <v>0</v>
      </c>
      <c r="E22" s="7" t="n">
        <f aca="false">COUNTIF('ACQ.4'!$C$6:$C$12,"Fail")</f>
        <v>0</v>
      </c>
      <c r="F22" s="7" t="n">
        <f aca="false">COUNTIF('ACQ.4'!$C$6:$C$12,"Open")</f>
        <v>0</v>
      </c>
      <c r="G22" s="7" t="n">
        <f aca="false">COUNTIF('ACQ.4'!$C$6:$C$12,"N/A")</f>
        <v>0</v>
      </c>
      <c r="H22" s="7" t="n">
        <f aca="false">C22-SUM(D22:G22)</f>
        <v>7</v>
      </c>
      <c r="I22" s="8" t="n">
        <f aca="false">IF(C22-G22=0,"-",D22/(C22-G22))</f>
        <v>0</v>
      </c>
    </row>
    <row r="23" customFormat="false" ht="15" hidden="false" customHeight="false" outlineLevel="0" collapsed="false">
      <c r="A23" s="5" t="s">
        <v>46</v>
      </c>
      <c r="B23" s="6" t="s">
        <v>47</v>
      </c>
      <c r="C23" s="7" t="n">
        <f aca="false">COUNTIF(GP2!$A$6:$A$16,"*.*")</f>
        <v>11</v>
      </c>
      <c r="D23" s="7" t="n">
        <f aca="false">COUNTIF(GP2!$C$6:$C$16,"Pass")</f>
        <v>0</v>
      </c>
      <c r="E23" s="7" t="n">
        <f aca="false">COUNTIF(GP2!$C$6:$C$16,"Fail")</f>
        <v>0</v>
      </c>
      <c r="F23" s="7" t="n">
        <f aca="false">COUNTIF(GP2!$C$6:$C$16,"Open")</f>
        <v>0</v>
      </c>
      <c r="G23" s="7" t="n">
        <f aca="false">COUNTIF(GP2!$C$6:$C$16,"N/A")</f>
        <v>0</v>
      </c>
      <c r="H23" s="7" t="n">
        <f aca="false">C23-SUM(D23:G23)</f>
        <v>11</v>
      </c>
      <c r="I23" s="8" t="n">
        <f aca="false">IF(C23-G23=0,"-",D23/(C23-G23))</f>
        <v>0</v>
      </c>
    </row>
    <row r="24" customFormat="false" ht="15" hidden="false" customHeight="false" outlineLevel="0" collapsed="false">
      <c r="A24" s="9" t="s">
        <v>48</v>
      </c>
      <c r="B24" s="9"/>
      <c r="C24" s="10" t="n">
        <f aca="false">SUM(C6:C23)</f>
        <v>186</v>
      </c>
      <c r="D24" s="10" t="n">
        <f aca="false">SUM(D6:D23)</f>
        <v>0</v>
      </c>
      <c r="E24" s="10" t="n">
        <f aca="false">SUM(E6:E23)</f>
        <v>0</v>
      </c>
      <c r="F24" s="10" t="n">
        <f aca="false">SUM(F6:F23)</f>
        <v>0</v>
      </c>
      <c r="G24" s="10" t="n">
        <f aca="false">SUM(G6:G23)</f>
        <v>0</v>
      </c>
      <c r="H24" s="10" t="n">
        <f aca="false">SUM(H6:H23)</f>
        <v>186</v>
      </c>
      <c r="I24" s="11" t="n">
        <f aca="false">IF(C24-G24=0,"-",D24/(C24-G24))</f>
        <v>0</v>
      </c>
    </row>
    <row r="26" customFormat="false" ht="15" hidden="false" customHeight="false" outlineLevel="0" collapsed="false">
      <c r="A26" s="2" t="s">
        <v>49</v>
      </c>
      <c r="B26" s="2" t="str">
        <f aca="false">IF(H24&gt;0,"Incomplete: unrated checks remain",IF(E24&gt;0,"Findings: rework needed",IF(F24&gt;0,"Open items remain","No findings")))</f>
        <v>Incomplete: unrated checks remain</v>
      </c>
    </row>
    <row r="27" customFormat="false" ht="15" hidden="false" customHeight="false" outlineLevel="0" collapsed="false">
      <c r="A27" s="12" t="s">
        <v>50</v>
      </c>
    </row>
  </sheetData>
  <mergeCells count="2">
    <mergeCell ref="B2:D2"/>
    <mergeCell ref="B3:D3"/>
  </mergeCells>
  <hyperlinks>
    <hyperlink ref="A6" r:id="rId1" location="'SYS.1'!A1" display="SYS.1"/>
    <hyperlink ref="A7" r:id="rId2" location="'SYS.2'!A1" display="SYS.2"/>
    <hyperlink ref="A8" r:id="rId3" location="'SYS.3'!A1" display="SYS.3"/>
    <hyperlink ref="A9" r:id="rId4" location="'SYS.4'!A1" display="SYS.4"/>
    <hyperlink ref="A10" r:id="rId5" location="'SYS.5'!A1" display="SYS.5"/>
    <hyperlink ref="A11" r:id="rId6" location="'SWE.1'!A1" display="SWE.1"/>
    <hyperlink ref="A12" r:id="rId7" location="'SWE.2'!A1" display="SWE.2"/>
    <hyperlink ref="A13" r:id="rId8" location="'SWE.3'!A1" display="SWE.3"/>
    <hyperlink ref="A14" r:id="rId9" location="'SWE.4'!A1" display="SWE.4"/>
    <hyperlink ref="A15" r:id="rId10" location="'SWE.5'!A1" display="SWE.5"/>
    <hyperlink ref="A16" r:id="rId11" location="'SWE.6'!A1" display="SWE.6"/>
    <hyperlink ref="A17" r:id="rId12" location="'SUP.1'!A1" display="SUP.1"/>
    <hyperlink ref="A18" r:id="rId13" location="'SUP.8'!A1" display="SUP.8"/>
    <hyperlink ref="A19" r:id="rId14" location="'SUP.9'!A1" display="SUP.9"/>
    <hyperlink ref="A20" r:id="rId15" location="'SUP.10'!A1" display="SUP.10"/>
    <hyperlink ref="A21" r:id="rId16" location="'MAN.3'!A1" display="MAN.3"/>
    <hyperlink ref="A22" r:id="rId17" location="'ACQ.4'!A1" display="ACQ.4"/>
    <hyperlink ref="A23" r:id="rId18" location="'GP2'!A1" display="GP 2.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0"/>
    <col collapsed="false" customWidth="true" hidden="false" outlineLevel="0" max="4" min="3" style="0" width="10"/>
    <col collapsed="false" customWidth="true" hidden="false" outlineLevel="0" max="5" min="5" style="0" width="40"/>
    <col collapsed="false" customWidth="true" hidden="false" outlineLevel="0" max="7" min="6" style="0" width="12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51</v>
      </c>
    </row>
    <row r="3" customFormat="false" ht="33.75" hidden="false" customHeight="true" outlineLevel="0" collapsed="false">
      <c r="A3" s="13" t="s">
        <v>52</v>
      </c>
      <c r="B3" s="13"/>
      <c r="C3" s="13"/>
      <c r="D3" s="13"/>
      <c r="E3" s="13"/>
      <c r="F3" s="13"/>
    </row>
    <row r="4" customFormat="false" ht="33.75" hidden="false" customHeight="true" outlineLevel="0" collapsed="false">
      <c r="A4" s="13" t="s">
        <v>53</v>
      </c>
      <c r="B4" s="13"/>
      <c r="C4" s="13"/>
      <c r="D4" s="13"/>
      <c r="E4" s="13"/>
      <c r="F4" s="13"/>
    </row>
    <row r="5" customFormat="false" ht="33.75" hidden="false" customHeight="true" outlineLevel="0" collapsed="false">
      <c r="A5" s="13" t="s">
        <v>54</v>
      </c>
      <c r="B5" s="13"/>
      <c r="C5" s="13"/>
      <c r="D5" s="13"/>
      <c r="E5" s="13"/>
      <c r="F5" s="13"/>
    </row>
    <row r="6" customFormat="false" ht="33.75" hidden="false" customHeight="true" outlineLevel="0" collapsed="false">
      <c r="A6" s="13" t="s">
        <v>55</v>
      </c>
      <c r="B6" s="13"/>
      <c r="C6" s="13"/>
      <c r="D6" s="13"/>
      <c r="E6" s="13"/>
      <c r="F6" s="13"/>
    </row>
    <row r="7" customFormat="false" ht="33.75" hidden="false" customHeight="true" outlineLevel="0" collapsed="false">
      <c r="A7" s="13" t="s">
        <v>56</v>
      </c>
      <c r="B7" s="13"/>
      <c r="C7" s="13"/>
      <c r="D7" s="13"/>
      <c r="E7" s="13"/>
      <c r="F7" s="13"/>
    </row>
    <row r="8" customFormat="false" ht="33.75" hidden="false" customHeight="true" outlineLevel="0" collapsed="false">
      <c r="A8" s="13" t="s">
        <v>57</v>
      </c>
      <c r="B8" s="13"/>
      <c r="C8" s="13"/>
      <c r="D8" s="13"/>
      <c r="E8" s="13"/>
      <c r="F8" s="13"/>
    </row>
    <row r="9" customFormat="false" ht="33.75" hidden="false" customHeight="true" outlineLevel="0" collapsed="false">
      <c r="A9" s="13" t="s">
        <v>58</v>
      </c>
      <c r="B9" s="13"/>
      <c r="C9" s="13"/>
      <c r="D9" s="13"/>
      <c r="E9" s="13"/>
      <c r="F9" s="13"/>
    </row>
    <row r="11" customFormat="false" ht="15" hidden="false" customHeight="false" outlineLevel="0" collapsed="false">
      <c r="A11" s="2" t="s">
        <v>59</v>
      </c>
    </row>
    <row r="12" customFormat="false" ht="15" hidden="false" customHeight="false" outlineLevel="0" collapsed="false">
      <c r="A12" s="14" t="s">
        <v>60</v>
      </c>
      <c r="B12" s="14" t="s">
        <v>61</v>
      </c>
      <c r="C12" s="14" t="s">
        <v>62</v>
      </c>
      <c r="D12" s="14" t="s">
        <v>63</v>
      </c>
      <c r="E12" s="14" t="s">
        <v>64</v>
      </c>
      <c r="F12" s="14" t="s">
        <v>65</v>
      </c>
      <c r="G12" s="14" t="s">
        <v>66</v>
      </c>
      <c r="H12" s="14" t="s">
        <v>67</v>
      </c>
    </row>
    <row r="13" customFormat="false" ht="60" hidden="false" customHeight="true" outlineLevel="0" collapsed="false">
      <c r="A13" s="15" t="s">
        <v>68</v>
      </c>
      <c r="B13" s="15" t="s">
        <v>69</v>
      </c>
      <c r="C13" s="15" t="s">
        <v>7</v>
      </c>
      <c r="D13" s="15" t="s">
        <v>70</v>
      </c>
      <c r="E13" s="15" t="s">
        <v>71</v>
      </c>
      <c r="F13" s="15" t="s">
        <v>72</v>
      </c>
      <c r="G13" s="15" t="s">
        <v>73</v>
      </c>
      <c r="H13" s="15" t="s">
        <v>74</v>
      </c>
    </row>
  </sheetData>
  <mergeCells count="7">
    <mergeCell ref="A3:F3"/>
    <mergeCell ref="A4:F4"/>
    <mergeCell ref="A5:F5"/>
    <mergeCell ref="A6:F6"/>
    <mergeCell ref="A7:F7"/>
    <mergeCell ref="A8:F8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26.85" hidden="false" customHeight="false" outlineLevel="0" collapsed="false">
      <c r="A6" s="15" t="s">
        <v>78</v>
      </c>
      <c r="B6" s="15" t="s">
        <v>79</v>
      </c>
      <c r="C6" s="19"/>
      <c r="D6" s="19"/>
      <c r="E6" s="20"/>
      <c r="F6" s="20"/>
      <c r="G6" s="21"/>
      <c r="H6" s="20"/>
    </row>
    <row r="7" customFormat="false" ht="26.85" hidden="false" customHeight="false" outlineLevel="0" collapsed="false">
      <c r="A7" s="15" t="s">
        <v>80</v>
      </c>
      <c r="B7" s="15" t="s">
        <v>81</v>
      </c>
      <c r="C7" s="19"/>
      <c r="D7" s="19"/>
      <c r="E7" s="20"/>
      <c r="F7" s="20"/>
      <c r="G7" s="21"/>
      <c r="H7" s="20"/>
    </row>
    <row r="8" customFormat="false" ht="26.85" hidden="false" customHeight="false" outlineLevel="0" collapsed="false">
      <c r="A8" s="15" t="s">
        <v>82</v>
      </c>
      <c r="B8" s="15" t="s">
        <v>83</v>
      </c>
      <c r="C8" s="19"/>
      <c r="D8" s="19"/>
      <c r="E8" s="20"/>
      <c r="F8" s="20"/>
      <c r="G8" s="21"/>
      <c r="H8" s="20"/>
    </row>
    <row r="9" customFormat="false" ht="15" hidden="false" customHeight="false" outlineLevel="0" collapsed="false">
      <c r="A9" s="15" t="s">
        <v>84</v>
      </c>
      <c r="B9" s="15" t="s">
        <v>85</v>
      </c>
      <c r="C9" s="19"/>
      <c r="D9" s="19"/>
      <c r="E9" s="20"/>
      <c r="F9" s="20"/>
      <c r="G9" s="21"/>
      <c r="H9" s="20"/>
    </row>
    <row r="10" customFormat="false" ht="26.85" hidden="false" customHeight="false" outlineLevel="0" collapsed="false">
      <c r="A10" s="15" t="s">
        <v>86</v>
      </c>
      <c r="B10" s="15" t="s">
        <v>87</v>
      </c>
      <c r="C10" s="19"/>
      <c r="D10" s="19"/>
      <c r="E10" s="20"/>
      <c r="F10" s="20"/>
      <c r="G10" s="21"/>
      <c r="H10" s="20"/>
    </row>
    <row r="11" customFormat="false" ht="26.85" hidden="false" customHeight="false" outlineLevel="0" collapsed="false">
      <c r="A11" s="15" t="s">
        <v>88</v>
      </c>
      <c r="B11" s="15" t="s">
        <v>89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90</v>
      </c>
      <c r="B12" s="15" t="s">
        <v>91</v>
      </c>
      <c r="C12" s="19"/>
      <c r="D12" s="19"/>
      <c r="E12" s="20"/>
      <c r="F12" s="20"/>
      <c r="G12" s="21"/>
      <c r="H12" s="20"/>
    </row>
  </sheetData>
  <autoFilter ref="A5:H12"/>
  <mergeCells count="1">
    <mergeCell ref="B2:C2"/>
  </mergeCells>
  <conditionalFormatting sqref="C6:C12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2" type="list">
      <formula1>"Pass,Fail,N/A,Open"</formula1>
      <formula2>0</formula2>
    </dataValidation>
    <dataValidation allowBlank="true" errorStyle="stop" operator="between" showDropDown="false" showErrorMessage="false" showInputMessage="false" sqref="D6:D12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15" hidden="false" customHeight="false" outlineLevel="0" collapsed="false">
      <c r="A6" s="22" t="s">
        <v>93</v>
      </c>
      <c r="B6" s="22" t="s">
        <v>94</v>
      </c>
      <c r="C6" s="22"/>
      <c r="D6" s="22"/>
      <c r="E6" s="22"/>
      <c r="F6" s="22"/>
      <c r="G6" s="22"/>
      <c r="H6" s="22"/>
    </row>
    <row r="7" customFormat="false" ht="15" hidden="false" customHeight="false" outlineLevel="0" collapsed="false">
      <c r="A7" s="15" t="s">
        <v>95</v>
      </c>
      <c r="B7" s="15" t="s">
        <v>96</v>
      </c>
      <c r="C7" s="19"/>
      <c r="D7" s="19"/>
      <c r="E7" s="20"/>
      <c r="F7" s="20"/>
      <c r="G7" s="21"/>
      <c r="H7" s="20"/>
    </row>
    <row r="8" customFormat="false" ht="26.85" hidden="false" customHeight="false" outlineLevel="0" collapsed="false">
      <c r="A8" s="15" t="s">
        <v>97</v>
      </c>
      <c r="B8" s="15" t="s">
        <v>98</v>
      </c>
      <c r="C8" s="19"/>
      <c r="D8" s="19"/>
      <c r="E8" s="20"/>
      <c r="F8" s="20"/>
      <c r="G8" s="21"/>
      <c r="H8" s="20"/>
    </row>
    <row r="9" customFormat="false" ht="15" hidden="false" customHeight="false" outlineLevel="0" collapsed="false">
      <c r="A9" s="15" t="s">
        <v>99</v>
      </c>
      <c r="B9" s="15" t="s">
        <v>100</v>
      </c>
      <c r="C9" s="19"/>
      <c r="D9" s="19"/>
      <c r="E9" s="20"/>
      <c r="F9" s="20"/>
      <c r="G9" s="21"/>
      <c r="H9" s="20"/>
    </row>
    <row r="10" customFormat="false" ht="15" hidden="false" customHeight="false" outlineLevel="0" collapsed="false">
      <c r="A10" s="15" t="s">
        <v>101</v>
      </c>
      <c r="B10" s="15" t="s">
        <v>102</v>
      </c>
      <c r="C10" s="19"/>
      <c r="D10" s="19"/>
      <c r="E10" s="20"/>
      <c r="F10" s="20"/>
      <c r="G10" s="21"/>
      <c r="H10" s="20"/>
    </row>
    <row r="11" customFormat="false" ht="15" hidden="false" customHeight="false" outlineLevel="0" collapsed="false">
      <c r="A11" s="15" t="s">
        <v>103</v>
      </c>
      <c r="B11" s="15" t="s">
        <v>104</v>
      </c>
      <c r="C11" s="19"/>
      <c r="D11" s="19"/>
      <c r="E11" s="20"/>
      <c r="F11" s="20"/>
      <c r="G11" s="21"/>
      <c r="H11" s="20"/>
    </row>
    <row r="12" customFormat="false" ht="15" hidden="false" customHeight="false" outlineLevel="0" collapsed="false">
      <c r="A12" s="15" t="s">
        <v>105</v>
      </c>
      <c r="B12" s="15" t="s">
        <v>106</v>
      </c>
      <c r="C12" s="19"/>
      <c r="D12" s="19"/>
      <c r="E12" s="20"/>
      <c r="F12" s="20"/>
      <c r="G12" s="21"/>
      <c r="H12" s="20"/>
    </row>
    <row r="13" customFormat="false" ht="15" hidden="false" customHeight="false" outlineLevel="0" collapsed="false">
      <c r="A13" s="15" t="s">
        <v>107</v>
      </c>
      <c r="B13" s="15" t="s">
        <v>108</v>
      </c>
      <c r="C13" s="19"/>
      <c r="D13" s="19"/>
      <c r="E13" s="20"/>
      <c r="F13" s="20"/>
      <c r="G13" s="21"/>
      <c r="H13" s="20"/>
    </row>
    <row r="14" customFormat="false" ht="15" hidden="false" customHeight="false" outlineLevel="0" collapsed="false">
      <c r="A14" s="22" t="s">
        <v>109</v>
      </c>
      <c r="B14" s="22" t="s">
        <v>110</v>
      </c>
      <c r="C14" s="22"/>
      <c r="D14" s="22"/>
      <c r="E14" s="22"/>
      <c r="F14" s="22"/>
      <c r="G14" s="22"/>
      <c r="H14" s="22"/>
    </row>
    <row r="15" customFormat="false" ht="26.85" hidden="false" customHeight="false" outlineLevel="0" collapsed="false">
      <c r="A15" s="15" t="s">
        <v>111</v>
      </c>
      <c r="B15" s="15" t="s">
        <v>112</v>
      </c>
      <c r="C15" s="19"/>
      <c r="D15" s="19"/>
      <c r="E15" s="20"/>
      <c r="F15" s="20"/>
      <c r="G15" s="21"/>
      <c r="H15" s="20"/>
    </row>
    <row r="16" customFormat="false" ht="26.85" hidden="false" customHeight="false" outlineLevel="0" collapsed="false">
      <c r="A16" s="15" t="s">
        <v>113</v>
      </c>
      <c r="B16" s="15" t="s">
        <v>114</v>
      </c>
      <c r="C16" s="19"/>
      <c r="D16" s="19"/>
      <c r="E16" s="20"/>
      <c r="F16" s="20"/>
      <c r="G16" s="21"/>
      <c r="H16" s="20"/>
    </row>
    <row r="17" customFormat="false" ht="15" hidden="false" customHeight="false" outlineLevel="0" collapsed="false">
      <c r="A17" s="15" t="s">
        <v>115</v>
      </c>
      <c r="B17" s="15" t="s">
        <v>116</v>
      </c>
      <c r="C17" s="19"/>
      <c r="D17" s="19"/>
      <c r="E17" s="20"/>
      <c r="F17" s="20"/>
      <c r="G17" s="21"/>
      <c r="H17" s="20"/>
    </row>
    <row r="18" customFormat="false" ht="26.85" hidden="false" customHeight="false" outlineLevel="0" collapsed="false">
      <c r="A18" s="15" t="s">
        <v>117</v>
      </c>
      <c r="B18" s="15" t="s">
        <v>118</v>
      </c>
      <c r="C18" s="19"/>
      <c r="D18" s="19"/>
      <c r="E18" s="20"/>
      <c r="F18" s="20"/>
      <c r="G18" s="21"/>
      <c r="H18" s="20"/>
    </row>
    <row r="19" customFormat="false" ht="26.85" hidden="false" customHeight="false" outlineLevel="0" collapsed="false">
      <c r="A19" s="15" t="s">
        <v>119</v>
      </c>
      <c r="B19" s="15" t="s">
        <v>120</v>
      </c>
      <c r="C19" s="19"/>
      <c r="D19" s="19"/>
      <c r="E19" s="20"/>
      <c r="F19" s="20"/>
      <c r="G19" s="21"/>
      <c r="H19" s="20"/>
    </row>
    <row r="20" customFormat="false" ht="26.85" hidden="false" customHeight="false" outlineLevel="0" collapsed="false">
      <c r="A20" s="15" t="s">
        <v>121</v>
      </c>
      <c r="B20" s="15" t="s">
        <v>122</v>
      </c>
      <c r="C20" s="19"/>
      <c r="D20" s="19"/>
      <c r="E20" s="20"/>
      <c r="F20" s="20"/>
      <c r="G20" s="21"/>
      <c r="H20" s="20"/>
    </row>
    <row r="21" customFormat="false" ht="15" hidden="false" customHeight="false" outlineLevel="0" collapsed="false">
      <c r="A21" s="15" t="s">
        <v>123</v>
      </c>
      <c r="B21" s="15" t="s">
        <v>124</v>
      </c>
      <c r="C21" s="19"/>
      <c r="D21" s="19"/>
      <c r="E21" s="20"/>
      <c r="F21" s="20"/>
      <c r="G21" s="21"/>
      <c r="H21" s="20"/>
    </row>
    <row r="22" customFormat="false" ht="15" hidden="false" customHeight="false" outlineLevel="0" collapsed="false">
      <c r="A22" s="22" t="s">
        <v>125</v>
      </c>
      <c r="B22" s="22" t="s">
        <v>126</v>
      </c>
      <c r="C22" s="22"/>
      <c r="D22" s="22"/>
      <c r="E22" s="22"/>
      <c r="F22" s="22"/>
      <c r="G22" s="22"/>
      <c r="H22" s="22"/>
    </row>
    <row r="23" customFormat="false" ht="26.85" hidden="false" customHeight="false" outlineLevel="0" collapsed="false">
      <c r="A23" s="15" t="s">
        <v>127</v>
      </c>
      <c r="B23" s="15" t="s">
        <v>128</v>
      </c>
      <c r="C23" s="19"/>
      <c r="D23" s="19"/>
      <c r="E23" s="20"/>
      <c r="F23" s="20"/>
      <c r="G23" s="21"/>
      <c r="H23" s="20"/>
    </row>
    <row r="24" customFormat="false" ht="15" hidden="false" customHeight="false" outlineLevel="0" collapsed="false">
      <c r="A24" s="15" t="s">
        <v>129</v>
      </c>
      <c r="B24" s="15" t="s">
        <v>130</v>
      </c>
      <c r="C24" s="19"/>
      <c r="D24" s="19"/>
      <c r="E24" s="20"/>
      <c r="F24" s="20"/>
      <c r="G24" s="21"/>
      <c r="H24" s="20"/>
    </row>
    <row r="25" customFormat="false" ht="15" hidden="false" customHeight="false" outlineLevel="0" collapsed="false">
      <c r="A25" s="15" t="s">
        <v>131</v>
      </c>
      <c r="B25" s="15" t="s">
        <v>132</v>
      </c>
      <c r="C25" s="19"/>
      <c r="D25" s="19"/>
      <c r="E25" s="20"/>
      <c r="F25" s="20"/>
      <c r="G25" s="21"/>
      <c r="H25" s="20"/>
    </row>
    <row r="26" customFormat="false" ht="15" hidden="false" customHeight="false" outlineLevel="0" collapsed="false">
      <c r="A26" s="15" t="s">
        <v>133</v>
      </c>
      <c r="B26" s="15" t="s">
        <v>134</v>
      </c>
      <c r="C26" s="19"/>
      <c r="D26" s="19"/>
      <c r="E26" s="20"/>
      <c r="F26" s="20"/>
      <c r="G26" s="21"/>
      <c r="H26" s="20"/>
    </row>
    <row r="27" customFormat="false" ht="26.85" hidden="false" customHeight="false" outlineLevel="0" collapsed="false">
      <c r="A27" s="15" t="s">
        <v>135</v>
      </c>
      <c r="B27" s="15" t="s">
        <v>136</v>
      </c>
      <c r="C27" s="19"/>
      <c r="D27" s="19"/>
      <c r="E27" s="20"/>
      <c r="F27" s="20"/>
      <c r="G27" s="21"/>
      <c r="H27" s="20"/>
    </row>
    <row r="28" customFormat="false" ht="15" hidden="false" customHeight="false" outlineLevel="0" collapsed="false">
      <c r="A28" s="22" t="s">
        <v>137</v>
      </c>
      <c r="B28" s="22" t="s">
        <v>138</v>
      </c>
      <c r="C28" s="22"/>
      <c r="D28" s="22"/>
      <c r="E28" s="22"/>
      <c r="F28" s="22"/>
      <c r="G28" s="22"/>
      <c r="H28" s="22"/>
    </row>
    <row r="29" customFormat="false" ht="26.85" hidden="false" customHeight="false" outlineLevel="0" collapsed="false">
      <c r="A29" s="15" t="s">
        <v>139</v>
      </c>
      <c r="B29" s="15" t="s">
        <v>140</v>
      </c>
      <c r="C29" s="19"/>
      <c r="D29" s="19"/>
      <c r="E29" s="20"/>
      <c r="F29" s="20"/>
      <c r="G29" s="21"/>
      <c r="H29" s="20"/>
    </row>
    <row r="30" customFormat="false" ht="26.85" hidden="false" customHeight="false" outlineLevel="0" collapsed="false">
      <c r="A30" s="15" t="s">
        <v>141</v>
      </c>
      <c r="B30" s="15" t="s">
        <v>142</v>
      </c>
      <c r="C30" s="19"/>
      <c r="D30" s="19"/>
      <c r="E30" s="20"/>
      <c r="F30" s="20"/>
      <c r="G30" s="21"/>
      <c r="H30" s="20"/>
    </row>
    <row r="31" customFormat="false" ht="26.85" hidden="false" customHeight="false" outlineLevel="0" collapsed="false">
      <c r="A31" s="15" t="s">
        <v>143</v>
      </c>
      <c r="B31" s="15" t="s">
        <v>144</v>
      </c>
      <c r="C31" s="19"/>
      <c r="D31" s="19"/>
      <c r="E31" s="20"/>
      <c r="F31" s="20"/>
      <c r="G31" s="21"/>
      <c r="H31" s="20"/>
    </row>
    <row r="32" customFormat="false" ht="15" hidden="false" customHeight="false" outlineLevel="0" collapsed="false">
      <c r="A32" s="15" t="s">
        <v>145</v>
      </c>
      <c r="B32" s="15" t="s">
        <v>146</v>
      </c>
      <c r="C32" s="19"/>
      <c r="D32" s="19"/>
      <c r="E32" s="20"/>
      <c r="F32" s="20"/>
      <c r="G32" s="21"/>
      <c r="H32" s="20"/>
    </row>
    <row r="33" customFormat="false" ht="26.85" hidden="false" customHeight="false" outlineLevel="0" collapsed="false">
      <c r="A33" s="15" t="s">
        <v>147</v>
      </c>
      <c r="B33" s="15" t="s">
        <v>148</v>
      </c>
      <c r="C33" s="19"/>
      <c r="D33" s="19"/>
      <c r="E33" s="20"/>
      <c r="F33" s="20"/>
      <c r="G33" s="21"/>
      <c r="H33" s="20"/>
    </row>
    <row r="34" customFormat="false" ht="15" hidden="false" customHeight="false" outlineLevel="0" collapsed="false">
      <c r="A34" s="22" t="s">
        <v>149</v>
      </c>
      <c r="B34" s="22" t="s">
        <v>150</v>
      </c>
      <c r="C34" s="22"/>
      <c r="D34" s="22"/>
      <c r="E34" s="22"/>
      <c r="F34" s="22"/>
      <c r="G34" s="22"/>
      <c r="H34" s="22"/>
    </row>
    <row r="35" customFormat="false" ht="15" hidden="false" customHeight="false" outlineLevel="0" collapsed="false">
      <c r="A35" s="15" t="s">
        <v>151</v>
      </c>
      <c r="B35" s="15" t="s">
        <v>152</v>
      </c>
      <c r="C35" s="19"/>
      <c r="D35" s="19"/>
      <c r="E35" s="20"/>
      <c r="F35" s="20"/>
      <c r="G35" s="21"/>
      <c r="H35" s="20"/>
    </row>
    <row r="36" customFormat="false" ht="15" hidden="false" customHeight="false" outlineLevel="0" collapsed="false">
      <c r="A36" s="15" t="s">
        <v>153</v>
      </c>
      <c r="B36" s="15" t="s">
        <v>154</v>
      </c>
      <c r="C36" s="19"/>
      <c r="D36" s="19"/>
      <c r="E36" s="20"/>
      <c r="F36" s="20"/>
      <c r="G36" s="21"/>
      <c r="H36" s="20"/>
    </row>
    <row r="37" customFormat="false" ht="15" hidden="false" customHeight="false" outlineLevel="0" collapsed="false">
      <c r="A37" s="22" t="s">
        <v>155</v>
      </c>
      <c r="B37" s="22" t="s">
        <v>156</v>
      </c>
      <c r="C37" s="22"/>
      <c r="D37" s="22"/>
      <c r="E37" s="22"/>
      <c r="F37" s="22"/>
      <c r="G37" s="22"/>
      <c r="H37" s="22"/>
    </row>
    <row r="38" customFormat="false" ht="26.85" hidden="false" customHeight="false" outlineLevel="0" collapsed="false">
      <c r="A38" s="15" t="s">
        <v>157</v>
      </c>
      <c r="B38" s="15" t="s">
        <v>158</v>
      </c>
      <c r="C38" s="19"/>
      <c r="D38" s="19"/>
      <c r="E38" s="20"/>
      <c r="F38" s="20"/>
      <c r="G38" s="21"/>
      <c r="H38" s="20"/>
    </row>
    <row r="39" customFormat="false" ht="15" hidden="false" customHeight="false" outlineLevel="0" collapsed="false">
      <c r="A39" s="15" t="s">
        <v>159</v>
      </c>
      <c r="B39" s="15" t="s">
        <v>160</v>
      </c>
      <c r="C39" s="19"/>
      <c r="D39" s="19"/>
      <c r="E39" s="20"/>
      <c r="F39" s="20"/>
      <c r="G39" s="21"/>
      <c r="H39" s="20"/>
    </row>
    <row r="40" customFormat="false" ht="15" hidden="false" customHeight="false" outlineLevel="0" collapsed="false">
      <c r="A40" s="15" t="s">
        <v>161</v>
      </c>
      <c r="B40" s="15" t="s">
        <v>162</v>
      </c>
      <c r="C40" s="19"/>
      <c r="D40" s="19"/>
      <c r="E40" s="20"/>
      <c r="F40" s="20"/>
      <c r="G40" s="21"/>
      <c r="H40" s="20"/>
    </row>
    <row r="41" customFormat="false" ht="26.85" hidden="false" customHeight="false" outlineLevel="0" collapsed="false">
      <c r="A41" s="15" t="s">
        <v>163</v>
      </c>
      <c r="B41" s="15" t="s">
        <v>164</v>
      </c>
      <c r="C41" s="19"/>
      <c r="D41" s="19"/>
      <c r="E41" s="20"/>
      <c r="F41" s="20"/>
      <c r="G41" s="21"/>
      <c r="H41" s="20"/>
    </row>
    <row r="42" customFormat="false" ht="15" hidden="false" customHeight="false" outlineLevel="0" collapsed="false">
      <c r="A42" s="15" t="s">
        <v>165</v>
      </c>
      <c r="B42" s="15" t="s">
        <v>166</v>
      </c>
      <c r="C42" s="19"/>
      <c r="D42" s="19"/>
      <c r="E42" s="20"/>
      <c r="F42" s="20"/>
      <c r="G42" s="21"/>
      <c r="H42" s="20"/>
    </row>
    <row r="43" customFormat="false" ht="15" hidden="false" customHeight="false" outlineLevel="0" collapsed="false">
      <c r="A43" s="22" t="s">
        <v>167</v>
      </c>
      <c r="B43" s="22" t="s">
        <v>168</v>
      </c>
      <c r="C43" s="22"/>
      <c r="D43" s="22"/>
      <c r="E43" s="22"/>
      <c r="F43" s="22"/>
      <c r="G43" s="22"/>
      <c r="H43" s="22"/>
    </row>
    <row r="44" customFormat="false" ht="26.85" hidden="false" customHeight="false" outlineLevel="0" collapsed="false">
      <c r="A44" s="15" t="s">
        <v>169</v>
      </c>
      <c r="B44" s="15" t="s">
        <v>170</v>
      </c>
      <c r="C44" s="19"/>
      <c r="D44" s="19"/>
      <c r="E44" s="20"/>
      <c r="F44" s="20"/>
      <c r="G44" s="21"/>
      <c r="H44" s="20"/>
    </row>
    <row r="45" customFormat="false" ht="26.85" hidden="false" customHeight="false" outlineLevel="0" collapsed="false">
      <c r="A45" s="15" t="s">
        <v>171</v>
      </c>
      <c r="B45" s="15" t="s">
        <v>172</v>
      </c>
      <c r="C45" s="19"/>
      <c r="D45" s="19"/>
      <c r="E45" s="20"/>
      <c r="F45" s="20"/>
      <c r="G45" s="21"/>
      <c r="H45" s="20"/>
    </row>
    <row r="46" customFormat="false" ht="15" hidden="false" customHeight="false" outlineLevel="0" collapsed="false">
      <c r="A46" s="15" t="s">
        <v>173</v>
      </c>
      <c r="B46" s="15" t="s">
        <v>174</v>
      </c>
      <c r="C46" s="19"/>
      <c r="D46" s="19"/>
      <c r="E46" s="20"/>
      <c r="F46" s="20"/>
      <c r="G46" s="21"/>
      <c r="H46" s="20"/>
    </row>
  </sheetData>
  <autoFilter ref="A5:H46"/>
  <mergeCells count="1">
    <mergeCell ref="B2:C2"/>
  </mergeCells>
  <conditionalFormatting sqref="C6:C46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46" type="list">
      <formula1>"Pass,Fail,N/A,Open"</formula1>
      <formula2>0</formula2>
    </dataValidation>
    <dataValidation allowBlank="true" errorStyle="stop" operator="between" showDropDown="false" showErrorMessage="false" showInputMessage="false" sqref="D6:D46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26.85" hidden="false" customHeight="false" outlineLevel="0" collapsed="false">
      <c r="A6" s="15" t="s">
        <v>176</v>
      </c>
      <c r="B6" s="15" t="s">
        <v>177</v>
      </c>
      <c r="C6" s="19"/>
      <c r="D6" s="19"/>
      <c r="E6" s="20"/>
      <c r="F6" s="20"/>
      <c r="G6" s="21"/>
      <c r="H6" s="20"/>
    </row>
    <row r="7" customFormat="false" ht="15" hidden="false" customHeight="false" outlineLevel="0" collapsed="false">
      <c r="A7" s="15" t="s">
        <v>178</v>
      </c>
      <c r="B7" s="15" t="s">
        <v>179</v>
      </c>
      <c r="C7" s="19"/>
      <c r="D7" s="19"/>
      <c r="E7" s="20"/>
      <c r="F7" s="20"/>
      <c r="G7" s="21"/>
      <c r="H7" s="20"/>
    </row>
    <row r="8" customFormat="false" ht="26.85" hidden="false" customHeight="false" outlineLevel="0" collapsed="false">
      <c r="A8" s="15" t="s">
        <v>180</v>
      </c>
      <c r="B8" s="15" t="s">
        <v>181</v>
      </c>
      <c r="C8" s="19"/>
      <c r="D8" s="19"/>
      <c r="E8" s="20"/>
      <c r="F8" s="20"/>
      <c r="G8" s="21"/>
      <c r="H8" s="20"/>
    </row>
    <row r="9" customFormat="false" ht="26.85" hidden="false" customHeight="false" outlineLevel="0" collapsed="false">
      <c r="A9" s="15" t="s">
        <v>182</v>
      </c>
      <c r="B9" s="15" t="s">
        <v>183</v>
      </c>
      <c r="C9" s="19"/>
      <c r="D9" s="19"/>
      <c r="E9" s="20"/>
      <c r="F9" s="20"/>
      <c r="G9" s="21"/>
      <c r="H9" s="20"/>
    </row>
    <row r="10" customFormat="false" ht="26.85" hidden="false" customHeight="false" outlineLevel="0" collapsed="false">
      <c r="A10" s="15" t="s">
        <v>184</v>
      </c>
      <c r="B10" s="15" t="s">
        <v>185</v>
      </c>
      <c r="C10" s="19"/>
      <c r="D10" s="19"/>
      <c r="E10" s="20"/>
      <c r="F10" s="20"/>
      <c r="G10" s="21"/>
      <c r="H10" s="20"/>
    </row>
    <row r="11" customFormat="false" ht="26.85" hidden="false" customHeight="false" outlineLevel="0" collapsed="false">
      <c r="A11" s="15" t="s">
        <v>186</v>
      </c>
      <c r="B11" s="15" t="s">
        <v>187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188</v>
      </c>
      <c r="B12" s="15" t="s">
        <v>189</v>
      </c>
      <c r="C12" s="19"/>
      <c r="D12" s="19"/>
      <c r="E12" s="20"/>
      <c r="F12" s="20"/>
      <c r="G12" s="21"/>
      <c r="H12" s="20"/>
    </row>
    <row r="13" customFormat="false" ht="26.85" hidden="false" customHeight="false" outlineLevel="0" collapsed="false">
      <c r="A13" s="15" t="s">
        <v>190</v>
      </c>
      <c r="B13" s="15" t="s">
        <v>191</v>
      </c>
      <c r="C13" s="19"/>
      <c r="D13" s="19"/>
      <c r="E13" s="20"/>
      <c r="F13" s="20"/>
      <c r="G13" s="21"/>
      <c r="H13" s="20"/>
    </row>
    <row r="14" customFormat="false" ht="15" hidden="false" customHeight="false" outlineLevel="0" collapsed="false">
      <c r="A14" s="15" t="s">
        <v>192</v>
      </c>
      <c r="B14" s="15" t="s">
        <v>193</v>
      </c>
      <c r="C14" s="19"/>
      <c r="D14" s="19"/>
      <c r="E14" s="20"/>
      <c r="F14" s="20"/>
      <c r="G14" s="21"/>
      <c r="H14" s="20"/>
    </row>
    <row r="15" customFormat="false" ht="15" hidden="false" customHeight="false" outlineLevel="0" collapsed="false">
      <c r="A15" s="15" t="s">
        <v>194</v>
      </c>
      <c r="B15" s="15" t="s">
        <v>195</v>
      </c>
      <c r="C15" s="19"/>
      <c r="D15" s="19"/>
      <c r="E15" s="20"/>
      <c r="F15" s="20"/>
      <c r="G15" s="21"/>
      <c r="H15" s="20"/>
    </row>
  </sheetData>
  <autoFilter ref="A5:H15"/>
  <mergeCells count="1">
    <mergeCell ref="B2:C2"/>
  </mergeCells>
  <conditionalFormatting sqref="C6:C15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5" type="list">
      <formula1>"Pass,Fail,N/A,Open"</formula1>
      <formula2>0</formula2>
    </dataValidation>
    <dataValidation allowBlank="true" errorStyle="stop" operator="between" showDropDown="false" showErrorMessage="false" showInputMessage="false" sqref="D6:D15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26.85" hidden="false" customHeight="false" outlineLevel="0" collapsed="false">
      <c r="A6" s="15" t="s">
        <v>197</v>
      </c>
      <c r="B6" s="15" t="s">
        <v>198</v>
      </c>
      <c r="C6" s="19"/>
      <c r="D6" s="19"/>
      <c r="E6" s="20"/>
      <c r="F6" s="20"/>
      <c r="G6" s="21"/>
      <c r="H6" s="20"/>
    </row>
    <row r="7" customFormat="false" ht="26.85" hidden="false" customHeight="false" outlineLevel="0" collapsed="false">
      <c r="A7" s="15" t="s">
        <v>199</v>
      </c>
      <c r="B7" s="15" t="s">
        <v>200</v>
      </c>
      <c r="C7" s="19"/>
      <c r="D7" s="19"/>
      <c r="E7" s="20"/>
      <c r="F7" s="20"/>
      <c r="G7" s="21"/>
      <c r="H7" s="20"/>
    </row>
    <row r="8" customFormat="false" ht="26.85" hidden="false" customHeight="false" outlineLevel="0" collapsed="false">
      <c r="A8" s="15" t="s">
        <v>201</v>
      </c>
      <c r="B8" s="15" t="s">
        <v>202</v>
      </c>
      <c r="C8" s="19"/>
      <c r="D8" s="19"/>
      <c r="E8" s="20"/>
      <c r="F8" s="20"/>
      <c r="G8" s="21"/>
      <c r="H8" s="20"/>
    </row>
    <row r="9" customFormat="false" ht="15" hidden="false" customHeight="false" outlineLevel="0" collapsed="false">
      <c r="A9" s="15" t="s">
        <v>203</v>
      </c>
      <c r="B9" s="15" t="s">
        <v>204</v>
      </c>
      <c r="C9" s="19"/>
      <c r="D9" s="19"/>
      <c r="E9" s="20"/>
      <c r="F9" s="20"/>
      <c r="G9" s="21"/>
      <c r="H9" s="20"/>
    </row>
    <row r="10" customFormat="false" ht="15" hidden="false" customHeight="false" outlineLevel="0" collapsed="false">
      <c r="A10" s="15" t="s">
        <v>205</v>
      </c>
      <c r="B10" s="15" t="s">
        <v>206</v>
      </c>
      <c r="C10" s="19"/>
      <c r="D10" s="19"/>
      <c r="E10" s="20"/>
      <c r="F10" s="20"/>
      <c r="G10" s="21"/>
      <c r="H10" s="20"/>
    </row>
    <row r="11" customFormat="false" ht="15" hidden="false" customHeight="false" outlineLevel="0" collapsed="false">
      <c r="A11" s="15" t="s">
        <v>207</v>
      </c>
      <c r="B11" s="15" t="s">
        <v>208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209</v>
      </c>
      <c r="B12" s="15" t="s">
        <v>210</v>
      </c>
      <c r="C12" s="19"/>
      <c r="D12" s="19"/>
      <c r="E12" s="20"/>
      <c r="F12" s="20"/>
      <c r="G12" s="21"/>
      <c r="H12" s="20"/>
    </row>
    <row r="13" customFormat="false" ht="26.85" hidden="false" customHeight="false" outlineLevel="0" collapsed="false">
      <c r="A13" s="15" t="s">
        <v>211</v>
      </c>
      <c r="B13" s="15" t="s">
        <v>212</v>
      </c>
      <c r="C13" s="19"/>
      <c r="D13" s="19"/>
      <c r="E13" s="20"/>
      <c r="F13" s="20"/>
      <c r="G13" s="21"/>
      <c r="H13" s="20"/>
    </row>
    <row r="14" customFormat="false" ht="26.85" hidden="false" customHeight="false" outlineLevel="0" collapsed="false">
      <c r="A14" s="15" t="s">
        <v>213</v>
      </c>
      <c r="B14" s="15" t="s">
        <v>214</v>
      </c>
      <c r="C14" s="19"/>
      <c r="D14" s="19"/>
      <c r="E14" s="20"/>
      <c r="F14" s="20"/>
      <c r="G14" s="21"/>
      <c r="H14" s="20"/>
    </row>
    <row r="15" customFormat="false" ht="26.85" hidden="false" customHeight="false" outlineLevel="0" collapsed="false">
      <c r="A15" s="15" t="s">
        <v>215</v>
      </c>
      <c r="B15" s="15" t="s">
        <v>216</v>
      </c>
      <c r="C15" s="19"/>
      <c r="D15" s="19"/>
      <c r="E15" s="20"/>
      <c r="F15" s="20"/>
      <c r="G15" s="21"/>
      <c r="H15" s="20"/>
    </row>
  </sheetData>
  <autoFilter ref="A5:H15"/>
  <mergeCells count="1">
    <mergeCell ref="B2:C2"/>
  </mergeCells>
  <conditionalFormatting sqref="C6:C15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5" type="list">
      <formula1>"Pass,Fail,N/A,Open"</formula1>
      <formula2>0</formula2>
    </dataValidation>
    <dataValidation allowBlank="true" errorStyle="stop" operator="between" showDropDown="false" showErrorMessage="false" showInputMessage="false" sqref="D6:D15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15" hidden="false" customHeight="false" outlineLevel="0" collapsed="false">
      <c r="A6" s="15" t="s">
        <v>218</v>
      </c>
      <c r="B6" s="15" t="s">
        <v>219</v>
      </c>
      <c r="C6" s="19"/>
      <c r="D6" s="19"/>
      <c r="E6" s="20"/>
      <c r="F6" s="20"/>
      <c r="G6" s="21"/>
      <c r="H6" s="20"/>
    </row>
    <row r="7" customFormat="false" ht="26.85" hidden="false" customHeight="false" outlineLevel="0" collapsed="false">
      <c r="A7" s="15" t="s">
        <v>220</v>
      </c>
      <c r="B7" s="15" t="s">
        <v>221</v>
      </c>
      <c r="C7" s="19"/>
      <c r="D7" s="19"/>
      <c r="E7" s="20"/>
      <c r="F7" s="20"/>
      <c r="G7" s="21"/>
      <c r="H7" s="20"/>
    </row>
    <row r="8" customFormat="false" ht="26.85" hidden="false" customHeight="false" outlineLevel="0" collapsed="false">
      <c r="A8" s="15" t="s">
        <v>222</v>
      </c>
      <c r="B8" s="15" t="s">
        <v>223</v>
      </c>
      <c r="C8" s="19"/>
      <c r="D8" s="19"/>
      <c r="E8" s="20"/>
      <c r="F8" s="20"/>
      <c r="G8" s="21"/>
      <c r="H8" s="20"/>
    </row>
    <row r="9" customFormat="false" ht="26.85" hidden="false" customHeight="false" outlineLevel="0" collapsed="false">
      <c r="A9" s="15" t="s">
        <v>224</v>
      </c>
      <c r="B9" s="15" t="s">
        <v>225</v>
      </c>
      <c r="C9" s="19"/>
      <c r="D9" s="19"/>
      <c r="E9" s="20"/>
      <c r="F9" s="20"/>
      <c r="G9" s="21"/>
      <c r="H9" s="20"/>
    </row>
    <row r="10" customFormat="false" ht="26.85" hidden="false" customHeight="false" outlineLevel="0" collapsed="false">
      <c r="A10" s="15" t="s">
        <v>226</v>
      </c>
      <c r="B10" s="15" t="s">
        <v>227</v>
      </c>
      <c r="C10" s="19"/>
      <c r="D10" s="19"/>
      <c r="E10" s="20"/>
      <c r="F10" s="20"/>
      <c r="G10" s="21"/>
      <c r="H10" s="20"/>
    </row>
    <row r="11" customFormat="false" ht="26.85" hidden="false" customHeight="false" outlineLevel="0" collapsed="false">
      <c r="A11" s="15" t="s">
        <v>228</v>
      </c>
      <c r="B11" s="15" t="s">
        <v>229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230</v>
      </c>
      <c r="B12" s="15" t="s">
        <v>231</v>
      </c>
      <c r="C12" s="19"/>
      <c r="D12" s="19"/>
      <c r="E12" s="20"/>
      <c r="F12" s="20"/>
      <c r="G12" s="21"/>
      <c r="H12" s="20"/>
    </row>
    <row r="13" customFormat="false" ht="26.85" hidden="false" customHeight="false" outlineLevel="0" collapsed="false">
      <c r="A13" s="15" t="s">
        <v>232</v>
      </c>
      <c r="B13" s="15" t="s">
        <v>233</v>
      </c>
      <c r="C13" s="19"/>
      <c r="D13" s="19"/>
      <c r="E13" s="20"/>
      <c r="F13" s="20"/>
      <c r="G13" s="21"/>
      <c r="H13" s="20"/>
    </row>
    <row r="14" customFormat="false" ht="15" hidden="false" customHeight="false" outlineLevel="0" collapsed="false">
      <c r="A14" s="15" t="s">
        <v>234</v>
      </c>
      <c r="B14" s="15" t="s">
        <v>235</v>
      </c>
      <c r="C14" s="19"/>
      <c r="D14" s="19"/>
      <c r="E14" s="20"/>
      <c r="F14" s="20"/>
      <c r="G14" s="21"/>
      <c r="H14" s="20"/>
    </row>
  </sheetData>
  <autoFilter ref="A5:H14"/>
  <mergeCells count="1">
    <mergeCell ref="B2:C2"/>
  </mergeCells>
  <conditionalFormatting sqref="C6:C14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4" type="list">
      <formula1>"Pass,Fail,N/A,Open"</formula1>
      <formula2>0</formula2>
    </dataValidation>
    <dataValidation allowBlank="true" errorStyle="stop" operator="between" showDropDown="false" showErrorMessage="false" showInputMessage="false" sqref="D6:D14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236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26.85" hidden="false" customHeight="false" outlineLevel="0" collapsed="false">
      <c r="A6" s="15" t="s">
        <v>237</v>
      </c>
      <c r="B6" s="15" t="s">
        <v>238</v>
      </c>
      <c r="C6" s="19"/>
      <c r="D6" s="19"/>
      <c r="E6" s="20"/>
      <c r="F6" s="20"/>
      <c r="G6" s="21"/>
      <c r="H6" s="20"/>
    </row>
    <row r="7" customFormat="false" ht="26.85" hidden="false" customHeight="false" outlineLevel="0" collapsed="false">
      <c r="A7" s="15" t="s">
        <v>239</v>
      </c>
      <c r="B7" s="15" t="s">
        <v>240</v>
      </c>
      <c r="C7" s="19"/>
      <c r="D7" s="19"/>
      <c r="E7" s="20"/>
      <c r="F7" s="20"/>
      <c r="G7" s="21"/>
      <c r="H7" s="20"/>
    </row>
    <row r="8" customFormat="false" ht="26.85" hidden="false" customHeight="false" outlineLevel="0" collapsed="false">
      <c r="A8" s="15" t="s">
        <v>241</v>
      </c>
      <c r="B8" s="15" t="s">
        <v>242</v>
      </c>
      <c r="C8" s="19"/>
      <c r="D8" s="19"/>
      <c r="E8" s="20"/>
      <c r="F8" s="20"/>
      <c r="G8" s="21"/>
      <c r="H8" s="20"/>
    </row>
    <row r="9" customFormat="false" ht="26.85" hidden="false" customHeight="false" outlineLevel="0" collapsed="false">
      <c r="A9" s="15" t="s">
        <v>243</v>
      </c>
      <c r="B9" s="15" t="s">
        <v>244</v>
      </c>
      <c r="C9" s="19"/>
      <c r="D9" s="19"/>
      <c r="E9" s="20"/>
      <c r="F9" s="20"/>
      <c r="G9" s="21"/>
      <c r="H9" s="20"/>
    </row>
    <row r="10" customFormat="false" ht="26.85" hidden="false" customHeight="false" outlineLevel="0" collapsed="false">
      <c r="A10" s="15" t="s">
        <v>245</v>
      </c>
      <c r="B10" s="15" t="s">
        <v>246</v>
      </c>
      <c r="C10" s="19"/>
      <c r="D10" s="19"/>
      <c r="E10" s="20"/>
      <c r="F10" s="20"/>
      <c r="G10" s="21"/>
      <c r="H10" s="20"/>
    </row>
    <row r="11" customFormat="false" ht="26.85" hidden="false" customHeight="false" outlineLevel="0" collapsed="false">
      <c r="A11" s="15" t="s">
        <v>247</v>
      </c>
      <c r="B11" s="15" t="s">
        <v>248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249</v>
      </c>
      <c r="B12" s="15" t="s">
        <v>250</v>
      </c>
      <c r="C12" s="19"/>
      <c r="D12" s="19"/>
      <c r="E12" s="20"/>
      <c r="F12" s="20"/>
      <c r="G12" s="21"/>
      <c r="H12" s="20"/>
    </row>
    <row r="13" customFormat="false" ht="26.85" hidden="false" customHeight="false" outlineLevel="0" collapsed="false">
      <c r="A13" s="15" t="s">
        <v>251</v>
      </c>
      <c r="B13" s="15" t="s">
        <v>252</v>
      </c>
      <c r="C13" s="19"/>
      <c r="D13" s="19"/>
      <c r="E13" s="20"/>
      <c r="F13" s="20"/>
      <c r="G13" s="21"/>
      <c r="H13" s="20"/>
    </row>
    <row r="14" customFormat="false" ht="15" hidden="false" customHeight="false" outlineLevel="0" collapsed="false">
      <c r="A14" s="15" t="s">
        <v>253</v>
      </c>
      <c r="B14" s="15" t="s">
        <v>254</v>
      </c>
      <c r="C14" s="19"/>
      <c r="D14" s="19"/>
      <c r="E14" s="20"/>
      <c r="F14" s="20"/>
      <c r="G14" s="21"/>
      <c r="H14" s="20"/>
    </row>
    <row r="15" customFormat="false" ht="15" hidden="false" customHeight="false" outlineLevel="0" collapsed="false">
      <c r="A15" s="15" t="s">
        <v>255</v>
      </c>
      <c r="B15" s="15" t="s">
        <v>256</v>
      </c>
      <c r="C15" s="19"/>
      <c r="D15" s="19"/>
      <c r="E15" s="20"/>
      <c r="F15" s="20"/>
      <c r="G15" s="21"/>
      <c r="H15" s="20"/>
    </row>
  </sheetData>
  <autoFilter ref="A5:H15"/>
  <mergeCells count="1">
    <mergeCell ref="B2:C2"/>
  </mergeCells>
  <conditionalFormatting sqref="C6:C15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5" type="list">
      <formula1>"Pass,Fail,N/A,Open"</formula1>
      <formula2>0</formula2>
    </dataValidation>
    <dataValidation allowBlank="true" errorStyle="stop" operator="between" showDropDown="false" showErrorMessage="false" showInputMessage="false" sqref="D6:D15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26.85" hidden="false" customHeight="false" outlineLevel="0" collapsed="false">
      <c r="A6" s="15" t="s">
        <v>258</v>
      </c>
      <c r="B6" s="15" t="s">
        <v>259</v>
      </c>
      <c r="C6" s="19"/>
      <c r="D6" s="19"/>
      <c r="E6" s="20"/>
      <c r="F6" s="20"/>
      <c r="G6" s="21"/>
      <c r="H6" s="20"/>
    </row>
    <row r="7" customFormat="false" ht="15" hidden="false" customHeight="false" outlineLevel="0" collapsed="false">
      <c r="A7" s="15" t="s">
        <v>260</v>
      </c>
      <c r="B7" s="15" t="s">
        <v>261</v>
      </c>
      <c r="C7" s="19"/>
      <c r="D7" s="19"/>
      <c r="E7" s="20"/>
      <c r="F7" s="20"/>
      <c r="G7" s="21"/>
      <c r="H7" s="20"/>
    </row>
    <row r="8" customFormat="false" ht="15" hidden="false" customHeight="false" outlineLevel="0" collapsed="false">
      <c r="A8" s="15" t="s">
        <v>262</v>
      </c>
      <c r="B8" s="15" t="s">
        <v>263</v>
      </c>
      <c r="C8" s="19"/>
      <c r="D8" s="19"/>
      <c r="E8" s="20"/>
      <c r="F8" s="20"/>
      <c r="G8" s="21"/>
      <c r="H8" s="20"/>
    </row>
    <row r="9" customFormat="false" ht="26.85" hidden="false" customHeight="false" outlineLevel="0" collapsed="false">
      <c r="A9" s="15" t="s">
        <v>264</v>
      </c>
      <c r="B9" s="15" t="s">
        <v>265</v>
      </c>
      <c r="C9" s="19"/>
      <c r="D9" s="19"/>
      <c r="E9" s="20"/>
      <c r="F9" s="20"/>
      <c r="G9" s="21"/>
      <c r="H9" s="20"/>
    </row>
    <row r="10" customFormat="false" ht="26.85" hidden="false" customHeight="false" outlineLevel="0" collapsed="false">
      <c r="A10" s="15" t="s">
        <v>266</v>
      </c>
      <c r="B10" s="15" t="s">
        <v>267</v>
      </c>
      <c r="C10" s="19"/>
      <c r="D10" s="19"/>
      <c r="E10" s="20"/>
      <c r="F10" s="20"/>
      <c r="G10" s="21"/>
      <c r="H10" s="20"/>
    </row>
    <row r="11" customFormat="false" ht="26.85" hidden="false" customHeight="false" outlineLevel="0" collapsed="false">
      <c r="A11" s="15" t="s">
        <v>268</v>
      </c>
      <c r="B11" s="15" t="s">
        <v>269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270</v>
      </c>
      <c r="B12" s="15" t="s">
        <v>271</v>
      </c>
      <c r="C12" s="19"/>
      <c r="D12" s="19"/>
      <c r="E12" s="20"/>
      <c r="F12" s="20"/>
      <c r="G12" s="21"/>
      <c r="H12" s="20"/>
    </row>
    <row r="13" customFormat="false" ht="26.85" hidden="false" customHeight="false" outlineLevel="0" collapsed="false">
      <c r="A13" s="15" t="s">
        <v>272</v>
      </c>
      <c r="B13" s="15" t="s">
        <v>273</v>
      </c>
      <c r="C13" s="19"/>
      <c r="D13" s="19"/>
      <c r="E13" s="20"/>
      <c r="F13" s="20"/>
      <c r="G13" s="21"/>
      <c r="H13" s="20"/>
    </row>
    <row r="14" customFormat="false" ht="15" hidden="false" customHeight="false" outlineLevel="0" collapsed="false">
      <c r="A14" s="15" t="s">
        <v>274</v>
      </c>
      <c r="B14" s="15" t="s">
        <v>275</v>
      </c>
      <c r="C14" s="19"/>
      <c r="D14" s="19"/>
      <c r="E14" s="20"/>
      <c r="F14" s="20"/>
      <c r="G14" s="21"/>
      <c r="H14" s="20"/>
    </row>
    <row r="15" customFormat="false" ht="15" hidden="false" customHeight="false" outlineLevel="0" collapsed="false">
      <c r="A15" s="15" t="s">
        <v>276</v>
      </c>
      <c r="B15" s="15" t="s">
        <v>277</v>
      </c>
      <c r="C15" s="19"/>
      <c r="D15" s="19"/>
      <c r="E15" s="20"/>
      <c r="F15" s="20"/>
      <c r="G15" s="21"/>
      <c r="H15" s="20"/>
    </row>
  </sheetData>
  <autoFilter ref="A5:H15"/>
  <mergeCells count="1">
    <mergeCell ref="B2:C2"/>
  </mergeCells>
  <conditionalFormatting sqref="C6:C15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5" type="list">
      <formula1>"Pass,Fail,N/A,Open"</formula1>
      <formula2>0</formula2>
    </dataValidation>
    <dataValidation allowBlank="true" errorStyle="stop" operator="between" showDropDown="false" showErrorMessage="false" showInputMessage="false" sqref="D6:D15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26.85" hidden="false" customHeight="false" outlineLevel="0" collapsed="false">
      <c r="A6" s="15" t="s">
        <v>279</v>
      </c>
      <c r="B6" s="15" t="s">
        <v>280</v>
      </c>
      <c r="C6" s="19"/>
      <c r="D6" s="19"/>
      <c r="E6" s="20"/>
      <c r="F6" s="20"/>
      <c r="G6" s="21"/>
      <c r="H6" s="20"/>
    </row>
    <row r="7" customFormat="false" ht="26.85" hidden="false" customHeight="false" outlineLevel="0" collapsed="false">
      <c r="A7" s="15" t="s">
        <v>281</v>
      </c>
      <c r="B7" s="15" t="s">
        <v>282</v>
      </c>
      <c r="C7" s="19"/>
      <c r="D7" s="19"/>
      <c r="E7" s="20"/>
      <c r="F7" s="20"/>
      <c r="G7" s="21"/>
      <c r="H7" s="20"/>
    </row>
    <row r="8" customFormat="false" ht="26.85" hidden="false" customHeight="false" outlineLevel="0" collapsed="false">
      <c r="A8" s="15" t="s">
        <v>283</v>
      </c>
      <c r="B8" s="15" t="s">
        <v>284</v>
      </c>
      <c r="C8" s="19"/>
      <c r="D8" s="19"/>
      <c r="E8" s="20"/>
      <c r="F8" s="20"/>
      <c r="G8" s="21"/>
      <c r="H8" s="20"/>
    </row>
    <row r="9" customFormat="false" ht="26.85" hidden="false" customHeight="false" outlineLevel="0" collapsed="false">
      <c r="A9" s="15" t="s">
        <v>285</v>
      </c>
      <c r="B9" s="15" t="s">
        <v>286</v>
      </c>
      <c r="C9" s="19"/>
      <c r="D9" s="19"/>
      <c r="E9" s="20"/>
      <c r="F9" s="20"/>
      <c r="G9" s="21"/>
      <c r="H9" s="20"/>
    </row>
    <row r="10" customFormat="false" ht="26.85" hidden="false" customHeight="false" outlineLevel="0" collapsed="false">
      <c r="A10" s="15" t="s">
        <v>287</v>
      </c>
      <c r="B10" s="15" t="s">
        <v>288</v>
      </c>
      <c r="C10" s="19"/>
      <c r="D10" s="19"/>
      <c r="E10" s="20"/>
      <c r="F10" s="20"/>
      <c r="G10" s="21"/>
      <c r="H10" s="20"/>
    </row>
    <row r="11" customFormat="false" ht="26.85" hidden="false" customHeight="false" outlineLevel="0" collapsed="false">
      <c r="A11" s="15" t="s">
        <v>289</v>
      </c>
      <c r="B11" s="15" t="s">
        <v>290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291</v>
      </c>
      <c r="B12" s="15" t="s">
        <v>292</v>
      </c>
      <c r="C12" s="19"/>
      <c r="D12" s="19"/>
      <c r="E12" s="20"/>
      <c r="F12" s="20"/>
      <c r="G12" s="21"/>
      <c r="H12" s="20"/>
    </row>
    <row r="13" customFormat="false" ht="15" hidden="false" customHeight="false" outlineLevel="0" collapsed="false">
      <c r="A13" s="15" t="s">
        <v>293</v>
      </c>
      <c r="B13" s="15" t="s">
        <v>294</v>
      </c>
      <c r="C13" s="19"/>
      <c r="D13" s="19"/>
      <c r="E13" s="20"/>
      <c r="F13" s="20"/>
      <c r="G13" s="21"/>
      <c r="H13" s="20"/>
    </row>
    <row r="14" customFormat="false" ht="15" hidden="false" customHeight="false" outlineLevel="0" collapsed="false">
      <c r="A14" s="15" t="s">
        <v>295</v>
      </c>
      <c r="B14" s="15" t="s">
        <v>296</v>
      </c>
      <c r="C14" s="19"/>
      <c r="D14" s="19"/>
      <c r="E14" s="20"/>
      <c r="F14" s="20"/>
      <c r="G14" s="21"/>
      <c r="H14" s="20"/>
    </row>
  </sheetData>
  <autoFilter ref="A5:H14"/>
  <mergeCells count="1">
    <mergeCell ref="B2:C2"/>
  </mergeCells>
  <conditionalFormatting sqref="C6:C14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4" type="list">
      <formula1>"Pass,Fail,N/A,Open"</formula1>
      <formula2>0</formula2>
    </dataValidation>
    <dataValidation allowBlank="true" errorStyle="stop" operator="between" showDropDown="false" showErrorMessage="false" showInputMessage="false" sqref="D6:D14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297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15" hidden="false" customHeight="false" outlineLevel="0" collapsed="false">
      <c r="A6" s="15" t="s">
        <v>298</v>
      </c>
      <c r="B6" s="15" t="s">
        <v>299</v>
      </c>
      <c r="C6" s="19"/>
      <c r="D6" s="19"/>
      <c r="E6" s="20"/>
      <c r="F6" s="20"/>
      <c r="G6" s="21"/>
      <c r="H6" s="20"/>
    </row>
    <row r="7" customFormat="false" ht="26.85" hidden="false" customHeight="false" outlineLevel="0" collapsed="false">
      <c r="A7" s="15" t="s">
        <v>300</v>
      </c>
      <c r="B7" s="15" t="s">
        <v>301</v>
      </c>
      <c r="C7" s="19"/>
      <c r="D7" s="19"/>
      <c r="E7" s="20"/>
      <c r="F7" s="20"/>
      <c r="G7" s="21"/>
      <c r="H7" s="20"/>
    </row>
    <row r="8" customFormat="false" ht="26.85" hidden="false" customHeight="false" outlineLevel="0" collapsed="false">
      <c r="A8" s="15" t="s">
        <v>302</v>
      </c>
      <c r="B8" s="15" t="s">
        <v>303</v>
      </c>
      <c r="C8" s="19"/>
      <c r="D8" s="19"/>
      <c r="E8" s="20"/>
      <c r="F8" s="20"/>
      <c r="G8" s="21"/>
      <c r="H8" s="20"/>
    </row>
    <row r="9" customFormat="false" ht="26.85" hidden="false" customHeight="false" outlineLevel="0" collapsed="false">
      <c r="A9" s="15" t="s">
        <v>304</v>
      </c>
      <c r="B9" s="15" t="s">
        <v>305</v>
      </c>
      <c r="C9" s="19"/>
      <c r="D9" s="19"/>
      <c r="E9" s="20"/>
      <c r="F9" s="20"/>
      <c r="G9" s="21"/>
      <c r="H9" s="20"/>
    </row>
    <row r="10" customFormat="false" ht="26.85" hidden="false" customHeight="false" outlineLevel="0" collapsed="false">
      <c r="A10" s="15" t="s">
        <v>68</v>
      </c>
      <c r="B10" s="15" t="s">
        <v>69</v>
      </c>
      <c r="C10" s="19"/>
      <c r="D10" s="19"/>
      <c r="E10" s="20"/>
      <c r="F10" s="20"/>
      <c r="G10" s="21"/>
      <c r="H10" s="20"/>
    </row>
    <row r="11" customFormat="false" ht="26.85" hidden="false" customHeight="false" outlineLevel="0" collapsed="false">
      <c r="A11" s="15" t="s">
        <v>306</v>
      </c>
      <c r="B11" s="15" t="s">
        <v>307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308</v>
      </c>
      <c r="B12" s="15" t="s">
        <v>309</v>
      </c>
      <c r="C12" s="19"/>
      <c r="D12" s="19"/>
      <c r="E12" s="20"/>
      <c r="F12" s="20"/>
      <c r="G12" s="21"/>
      <c r="H12" s="20"/>
    </row>
    <row r="13" customFormat="false" ht="26.85" hidden="false" customHeight="false" outlineLevel="0" collapsed="false">
      <c r="A13" s="15" t="s">
        <v>310</v>
      </c>
      <c r="B13" s="15" t="s">
        <v>311</v>
      </c>
      <c r="C13" s="19"/>
      <c r="D13" s="19"/>
      <c r="E13" s="20"/>
      <c r="F13" s="20"/>
      <c r="G13" s="21"/>
      <c r="H13" s="20"/>
    </row>
  </sheetData>
  <autoFilter ref="A5:H13"/>
  <mergeCells count="1">
    <mergeCell ref="B2:C2"/>
  </mergeCells>
  <conditionalFormatting sqref="C6:C13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3" type="list">
      <formula1>"Pass,Fail,N/A,Open"</formula1>
      <formula2>0</formula2>
    </dataValidation>
    <dataValidation allowBlank="true" errorStyle="stop" operator="between" showDropDown="false" showErrorMessage="false" showInputMessage="false" sqref="D6:D13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312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26.85" hidden="false" customHeight="false" outlineLevel="0" collapsed="false">
      <c r="A6" s="15" t="s">
        <v>313</v>
      </c>
      <c r="B6" s="15" t="s">
        <v>314</v>
      </c>
      <c r="C6" s="19"/>
      <c r="D6" s="19"/>
      <c r="E6" s="20"/>
      <c r="F6" s="20"/>
      <c r="G6" s="21"/>
      <c r="H6" s="20"/>
    </row>
    <row r="7" customFormat="false" ht="26.85" hidden="false" customHeight="false" outlineLevel="0" collapsed="false">
      <c r="A7" s="15" t="s">
        <v>315</v>
      </c>
      <c r="B7" s="15" t="s">
        <v>316</v>
      </c>
      <c r="C7" s="19"/>
      <c r="D7" s="19"/>
      <c r="E7" s="20"/>
      <c r="F7" s="20"/>
      <c r="G7" s="21"/>
      <c r="H7" s="20"/>
    </row>
    <row r="8" customFormat="false" ht="26.85" hidden="false" customHeight="false" outlineLevel="0" collapsed="false">
      <c r="A8" s="15" t="s">
        <v>317</v>
      </c>
      <c r="B8" s="15" t="s">
        <v>318</v>
      </c>
      <c r="C8" s="19"/>
      <c r="D8" s="19"/>
      <c r="E8" s="20"/>
      <c r="F8" s="20"/>
      <c r="G8" s="21"/>
      <c r="H8" s="20"/>
    </row>
    <row r="9" customFormat="false" ht="26.85" hidden="false" customHeight="false" outlineLevel="0" collapsed="false">
      <c r="A9" s="15" t="s">
        <v>319</v>
      </c>
      <c r="B9" s="15" t="s">
        <v>320</v>
      </c>
      <c r="C9" s="19"/>
      <c r="D9" s="19"/>
      <c r="E9" s="20"/>
      <c r="F9" s="20"/>
      <c r="G9" s="21"/>
      <c r="H9" s="20"/>
    </row>
    <row r="10" customFormat="false" ht="15" hidden="false" customHeight="false" outlineLevel="0" collapsed="false">
      <c r="A10" s="15" t="s">
        <v>321</v>
      </c>
      <c r="B10" s="15" t="s">
        <v>322</v>
      </c>
      <c r="C10" s="19"/>
      <c r="D10" s="19"/>
      <c r="E10" s="20"/>
      <c r="F10" s="20"/>
      <c r="G10" s="21"/>
      <c r="H10" s="20"/>
    </row>
    <row r="11" customFormat="false" ht="15" hidden="false" customHeight="false" outlineLevel="0" collapsed="false">
      <c r="A11" s="15" t="s">
        <v>323</v>
      </c>
      <c r="B11" s="15" t="s">
        <v>324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325</v>
      </c>
      <c r="B12" s="15" t="s">
        <v>326</v>
      </c>
      <c r="C12" s="19"/>
      <c r="D12" s="19"/>
      <c r="E12" s="20"/>
      <c r="F12" s="20"/>
      <c r="G12" s="21"/>
      <c r="H12" s="20"/>
    </row>
    <row r="13" customFormat="false" ht="26.85" hidden="false" customHeight="false" outlineLevel="0" collapsed="false">
      <c r="A13" s="15" t="s">
        <v>327</v>
      </c>
      <c r="B13" s="15" t="s">
        <v>214</v>
      </c>
      <c r="C13" s="19"/>
      <c r="D13" s="19"/>
      <c r="E13" s="20"/>
      <c r="F13" s="20"/>
      <c r="G13" s="21"/>
      <c r="H13" s="20"/>
    </row>
    <row r="14" customFormat="false" ht="26.85" hidden="false" customHeight="false" outlineLevel="0" collapsed="false">
      <c r="A14" s="15" t="s">
        <v>328</v>
      </c>
      <c r="B14" s="15" t="s">
        <v>311</v>
      </c>
      <c r="C14" s="19"/>
      <c r="D14" s="19"/>
      <c r="E14" s="20"/>
      <c r="F14" s="20"/>
      <c r="G14" s="21"/>
      <c r="H14" s="20"/>
    </row>
  </sheetData>
  <autoFilter ref="A5:H14"/>
  <mergeCells count="1">
    <mergeCell ref="B2:C2"/>
  </mergeCells>
  <conditionalFormatting sqref="C6:C14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4" type="list">
      <formula1>"Pass,Fail,N/A,Open"</formula1>
      <formula2>0</formula2>
    </dataValidation>
    <dataValidation allowBlank="true" errorStyle="stop" operator="between" showDropDown="false" showErrorMessage="false" showInputMessage="false" sqref="D6:D14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329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15" hidden="false" customHeight="false" outlineLevel="0" collapsed="false">
      <c r="A6" s="15" t="s">
        <v>330</v>
      </c>
      <c r="B6" s="15" t="s">
        <v>331</v>
      </c>
      <c r="C6" s="19"/>
      <c r="D6" s="19"/>
      <c r="E6" s="20"/>
      <c r="F6" s="20"/>
      <c r="G6" s="21"/>
      <c r="H6" s="20"/>
    </row>
    <row r="7" customFormat="false" ht="26.85" hidden="false" customHeight="false" outlineLevel="0" collapsed="false">
      <c r="A7" s="15" t="s">
        <v>332</v>
      </c>
      <c r="B7" s="15" t="s">
        <v>333</v>
      </c>
      <c r="C7" s="19"/>
      <c r="D7" s="19"/>
      <c r="E7" s="20"/>
      <c r="F7" s="20"/>
      <c r="G7" s="21"/>
      <c r="H7" s="20"/>
    </row>
    <row r="8" customFormat="false" ht="15" hidden="false" customHeight="false" outlineLevel="0" collapsed="false">
      <c r="A8" s="15" t="s">
        <v>334</v>
      </c>
      <c r="B8" s="15" t="s">
        <v>335</v>
      </c>
      <c r="C8" s="19"/>
      <c r="D8" s="19"/>
      <c r="E8" s="20"/>
      <c r="F8" s="20"/>
      <c r="G8" s="21"/>
      <c r="H8" s="20"/>
    </row>
    <row r="9" customFormat="false" ht="26.85" hidden="false" customHeight="false" outlineLevel="0" collapsed="false">
      <c r="A9" s="15" t="s">
        <v>336</v>
      </c>
      <c r="B9" s="15" t="s">
        <v>337</v>
      </c>
      <c r="C9" s="19"/>
      <c r="D9" s="19"/>
      <c r="E9" s="20"/>
      <c r="F9" s="20"/>
      <c r="G9" s="21"/>
      <c r="H9" s="20"/>
    </row>
    <row r="10" customFormat="false" ht="26.85" hidden="false" customHeight="false" outlineLevel="0" collapsed="false">
      <c r="A10" s="15" t="s">
        <v>338</v>
      </c>
      <c r="B10" s="15" t="s">
        <v>339</v>
      </c>
      <c r="C10" s="19"/>
      <c r="D10" s="19"/>
      <c r="E10" s="20"/>
      <c r="F10" s="20"/>
      <c r="G10" s="21"/>
      <c r="H10" s="20"/>
    </row>
    <row r="11" customFormat="false" ht="26.85" hidden="false" customHeight="false" outlineLevel="0" collapsed="false">
      <c r="A11" s="15" t="s">
        <v>340</v>
      </c>
      <c r="B11" s="15" t="s">
        <v>341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342</v>
      </c>
      <c r="B12" s="15" t="s">
        <v>343</v>
      </c>
      <c r="C12" s="19"/>
      <c r="D12" s="19"/>
      <c r="E12" s="20"/>
      <c r="F12" s="20"/>
      <c r="G12" s="21"/>
      <c r="H12" s="20"/>
    </row>
    <row r="13" customFormat="false" ht="15" hidden="false" customHeight="false" outlineLevel="0" collapsed="false">
      <c r="A13" s="15" t="s">
        <v>344</v>
      </c>
      <c r="B13" s="15" t="s">
        <v>345</v>
      </c>
      <c r="C13" s="19"/>
      <c r="D13" s="19"/>
      <c r="E13" s="20"/>
      <c r="F13" s="20"/>
      <c r="G13" s="21"/>
      <c r="H13" s="20"/>
    </row>
    <row r="14" customFormat="false" ht="15" hidden="false" customHeight="false" outlineLevel="0" collapsed="false">
      <c r="A14" s="15" t="s">
        <v>346</v>
      </c>
      <c r="B14" s="15" t="s">
        <v>235</v>
      </c>
      <c r="C14" s="19"/>
      <c r="D14" s="19"/>
      <c r="E14" s="20"/>
      <c r="F14" s="20"/>
      <c r="G14" s="21"/>
      <c r="H14" s="20"/>
    </row>
  </sheetData>
  <autoFilter ref="A5:H14"/>
  <mergeCells count="1">
    <mergeCell ref="B2:C2"/>
  </mergeCells>
  <conditionalFormatting sqref="C6:C14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4" type="list">
      <formula1>"Pass,Fail,N/A,Open"</formula1>
      <formula2>0</formula2>
    </dataValidation>
    <dataValidation allowBlank="true" errorStyle="stop" operator="between" showDropDown="false" showErrorMessage="false" showInputMessage="false" sqref="D6:D14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347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26.85" hidden="false" customHeight="false" outlineLevel="0" collapsed="false">
      <c r="A6" s="15" t="s">
        <v>348</v>
      </c>
      <c r="B6" s="15" t="s">
        <v>349</v>
      </c>
      <c r="C6" s="19"/>
      <c r="D6" s="19"/>
      <c r="E6" s="20"/>
      <c r="F6" s="20"/>
      <c r="G6" s="21"/>
      <c r="H6" s="20"/>
    </row>
    <row r="7" customFormat="false" ht="15" hidden="false" customHeight="false" outlineLevel="0" collapsed="false">
      <c r="A7" s="15" t="s">
        <v>350</v>
      </c>
      <c r="B7" s="15" t="s">
        <v>351</v>
      </c>
      <c r="C7" s="19"/>
      <c r="D7" s="19"/>
      <c r="E7" s="20"/>
      <c r="F7" s="20"/>
      <c r="G7" s="21"/>
      <c r="H7" s="20"/>
    </row>
    <row r="8" customFormat="false" ht="15" hidden="false" customHeight="false" outlineLevel="0" collapsed="false">
      <c r="A8" s="15" t="s">
        <v>352</v>
      </c>
      <c r="B8" s="15" t="s">
        <v>353</v>
      </c>
      <c r="C8" s="19"/>
      <c r="D8" s="19"/>
      <c r="E8" s="20"/>
      <c r="F8" s="20"/>
      <c r="G8" s="21"/>
      <c r="H8" s="20"/>
    </row>
    <row r="9" customFormat="false" ht="26.85" hidden="false" customHeight="false" outlineLevel="0" collapsed="false">
      <c r="A9" s="15" t="s">
        <v>354</v>
      </c>
      <c r="B9" s="15" t="s">
        <v>355</v>
      </c>
      <c r="C9" s="19"/>
      <c r="D9" s="19"/>
      <c r="E9" s="20"/>
      <c r="F9" s="20"/>
      <c r="G9" s="21"/>
      <c r="H9" s="20"/>
    </row>
    <row r="10" customFormat="false" ht="15" hidden="false" customHeight="false" outlineLevel="0" collapsed="false">
      <c r="A10" s="15" t="s">
        <v>356</v>
      </c>
      <c r="B10" s="15" t="s">
        <v>357</v>
      </c>
      <c r="C10" s="19"/>
      <c r="D10" s="19"/>
      <c r="E10" s="20"/>
      <c r="F10" s="20"/>
      <c r="G10" s="21"/>
      <c r="H10" s="20"/>
    </row>
    <row r="11" customFormat="false" ht="26.85" hidden="false" customHeight="false" outlineLevel="0" collapsed="false">
      <c r="A11" s="15" t="s">
        <v>358</v>
      </c>
      <c r="B11" s="15" t="s">
        <v>359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360</v>
      </c>
      <c r="B12" s="15" t="s">
        <v>361</v>
      </c>
      <c r="C12" s="19"/>
      <c r="D12" s="19"/>
      <c r="E12" s="20"/>
      <c r="F12" s="20"/>
      <c r="G12" s="21"/>
      <c r="H12" s="20"/>
    </row>
    <row r="13" customFormat="false" ht="15" hidden="false" customHeight="false" outlineLevel="0" collapsed="false">
      <c r="A13" s="15" t="s">
        <v>362</v>
      </c>
      <c r="B13" s="15" t="s">
        <v>363</v>
      </c>
      <c r="C13" s="19"/>
      <c r="D13" s="19"/>
      <c r="E13" s="20"/>
      <c r="F13" s="20"/>
      <c r="G13" s="21"/>
      <c r="H13" s="20"/>
    </row>
  </sheetData>
  <autoFilter ref="A5:H13"/>
  <mergeCells count="1">
    <mergeCell ref="B2:C2"/>
  </mergeCells>
  <conditionalFormatting sqref="C6:C13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3" type="list">
      <formula1>"Pass,Fail,N/A,Open"</formula1>
      <formula2>0</formula2>
    </dataValidation>
    <dataValidation allowBlank="true" errorStyle="stop" operator="between" showDropDown="false" showErrorMessage="false" showInputMessage="false" sqref="D6:D13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364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15" hidden="false" customHeight="false" outlineLevel="0" collapsed="false">
      <c r="A6" s="15" t="s">
        <v>365</v>
      </c>
      <c r="B6" s="15" t="s">
        <v>366</v>
      </c>
      <c r="C6" s="19"/>
      <c r="D6" s="19"/>
      <c r="E6" s="20"/>
      <c r="F6" s="20"/>
      <c r="G6" s="21"/>
      <c r="H6" s="20"/>
    </row>
    <row r="7" customFormat="false" ht="15" hidden="false" customHeight="false" outlineLevel="0" collapsed="false">
      <c r="A7" s="15" t="s">
        <v>367</v>
      </c>
      <c r="B7" s="15" t="s">
        <v>368</v>
      </c>
      <c r="C7" s="19"/>
      <c r="D7" s="19"/>
      <c r="E7" s="20"/>
      <c r="F7" s="20"/>
      <c r="G7" s="21"/>
      <c r="H7" s="20"/>
    </row>
    <row r="8" customFormat="false" ht="15" hidden="false" customHeight="false" outlineLevel="0" collapsed="false">
      <c r="A8" s="15" t="s">
        <v>369</v>
      </c>
      <c r="B8" s="15" t="s">
        <v>370</v>
      </c>
      <c r="C8" s="19"/>
      <c r="D8" s="19"/>
      <c r="E8" s="20"/>
      <c r="F8" s="20"/>
      <c r="G8" s="21"/>
      <c r="H8" s="20"/>
    </row>
    <row r="9" customFormat="false" ht="26.85" hidden="false" customHeight="false" outlineLevel="0" collapsed="false">
      <c r="A9" s="15" t="s">
        <v>371</v>
      </c>
      <c r="B9" s="15" t="s">
        <v>372</v>
      </c>
      <c r="C9" s="19"/>
      <c r="D9" s="19"/>
      <c r="E9" s="20"/>
      <c r="F9" s="20"/>
      <c r="G9" s="21"/>
      <c r="H9" s="20"/>
    </row>
    <row r="10" customFormat="false" ht="15" hidden="false" customHeight="false" outlineLevel="0" collapsed="false">
      <c r="A10" s="15" t="s">
        <v>373</v>
      </c>
      <c r="B10" s="15" t="s">
        <v>374</v>
      </c>
      <c r="C10" s="19"/>
      <c r="D10" s="19"/>
      <c r="E10" s="20"/>
      <c r="F10" s="20"/>
      <c r="G10" s="21"/>
      <c r="H10" s="20"/>
    </row>
    <row r="11" customFormat="false" ht="26.85" hidden="false" customHeight="false" outlineLevel="0" collapsed="false">
      <c r="A11" s="15" t="s">
        <v>375</v>
      </c>
      <c r="B11" s="15" t="s">
        <v>376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377</v>
      </c>
      <c r="B12" s="15" t="s">
        <v>378</v>
      </c>
      <c r="C12" s="19"/>
      <c r="D12" s="19"/>
      <c r="E12" s="20"/>
      <c r="F12" s="20"/>
      <c r="G12" s="21"/>
      <c r="H12" s="20"/>
    </row>
    <row r="13" customFormat="false" ht="15" hidden="false" customHeight="false" outlineLevel="0" collapsed="false">
      <c r="A13" s="15" t="s">
        <v>379</v>
      </c>
      <c r="B13" s="15" t="s">
        <v>380</v>
      </c>
      <c r="C13" s="19"/>
      <c r="D13" s="19"/>
      <c r="E13" s="20"/>
      <c r="F13" s="20"/>
      <c r="G13" s="21"/>
      <c r="H13" s="20"/>
    </row>
  </sheetData>
  <autoFilter ref="A5:H13"/>
  <mergeCells count="1">
    <mergeCell ref="B2:C2"/>
  </mergeCells>
  <conditionalFormatting sqref="C6:C13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3" type="list">
      <formula1>"Pass,Fail,N/A,Open"</formula1>
      <formula2>0</formula2>
    </dataValidation>
    <dataValidation allowBlank="true" errorStyle="stop" operator="between" showDropDown="false" showErrorMessage="false" showInputMessage="false" sqref="D6:D13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381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26.85" hidden="false" customHeight="false" outlineLevel="0" collapsed="false">
      <c r="A6" s="15" t="s">
        <v>382</v>
      </c>
      <c r="B6" s="15" t="s">
        <v>383</v>
      </c>
      <c r="C6" s="19"/>
      <c r="D6" s="19"/>
      <c r="E6" s="20"/>
      <c r="F6" s="20"/>
      <c r="G6" s="21"/>
      <c r="H6" s="20"/>
    </row>
    <row r="7" customFormat="false" ht="26.85" hidden="false" customHeight="false" outlineLevel="0" collapsed="false">
      <c r="A7" s="15" t="s">
        <v>384</v>
      </c>
      <c r="B7" s="15" t="s">
        <v>385</v>
      </c>
      <c r="C7" s="19"/>
      <c r="D7" s="19"/>
      <c r="E7" s="20"/>
      <c r="F7" s="20"/>
      <c r="G7" s="21"/>
      <c r="H7" s="20"/>
    </row>
    <row r="8" customFormat="false" ht="15" hidden="false" customHeight="false" outlineLevel="0" collapsed="false">
      <c r="A8" s="15" t="s">
        <v>386</v>
      </c>
      <c r="B8" s="15" t="s">
        <v>387</v>
      </c>
      <c r="C8" s="19"/>
      <c r="D8" s="19"/>
      <c r="E8" s="20"/>
      <c r="F8" s="20"/>
      <c r="G8" s="21"/>
      <c r="H8" s="20"/>
    </row>
    <row r="9" customFormat="false" ht="26.85" hidden="false" customHeight="false" outlineLevel="0" collapsed="false">
      <c r="A9" s="15" t="s">
        <v>388</v>
      </c>
      <c r="B9" s="15" t="s">
        <v>389</v>
      </c>
      <c r="C9" s="19"/>
      <c r="D9" s="19"/>
      <c r="E9" s="20"/>
      <c r="F9" s="20"/>
      <c r="G9" s="21"/>
      <c r="H9" s="20"/>
    </row>
    <row r="10" customFormat="false" ht="15" hidden="false" customHeight="false" outlineLevel="0" collapsed="false">
      <c r="A10" s="15" t="s">
        <v>390</v>
      </c>
      <c r="B10" s="15" t="s">
        <v>391</v>
      </c>
      <c r="C10" s="19"/>
      <c r="D10" s="19"/>
      <c r="E10" s="20"/>
      <c r="F10" s="20"/>
      <c r="G10" s="21"/>
      <c r="H10" s="20"/>
    </row>
    <row r="11" customFormat="false" ht="15" hidden="false" customHeight="false" outlineLevel="0" collapsed="false">
      <c r="A11" s="15" t="s">
        <v>392</v>
      </c>
      <c r="B11" s="15" t="s">
        <v>393</v>
      </c>
      <c r="C11" s="19"/>
      <c r="D11" s="19"/>
      <c r="E11" s="20"/>
      <c r="F11" s="20"/>
      <c r="G11" s="21"/>
      <c r="H11" s="20"/>
    </row>
    <row r="12" customFormat="false" ht="15" hidden="false" customHeight="false" outlineLevel="0" collapsed="false">
      <c r="A12" s="15" t="s">
        <v>394</v>
      </c>
      <c r="B12" s="15" t="s">
        <v>395</v>
      </c>
      <c r="C12" s="19"/>
      <c r="D12" s="19"/>
      <c r="E12" s="20"/>
      <c r="F12" s="20"/>
      <c r="G12" s="21"/>
      <c r="H12" s="20"/>
    </row>
    <row r="13" customFormat="false" ht="15" hidden="false" customHeight="false" outlineLevel="0" collapsed="false">
      <c r="A13" s="15" t="s">
        <v>396</v>
      </c>
      <c r="B13" s="15" t="s">
        <v>397</v>
      </c>
      <c r="C13" s="19"/>
      <c r="D13" s="19"/>
      <c r="E13" s="20"/>
      <c r="F13" s="20"/>
      <c r="G13" s="21"/>
      <c r="H13" s="20"/>
    </row>
    <row r="14" customFormat="false" ht="15" hidden="false" customHeight="false" outlineLevel="0" collapsed="false">
      <c r="A14" s="15" t="s">
        <v>398</v>
      </c>
      <c r="B14" s="15" t="s">
        <v>399</v>
      </c>
      <c r="C14" s="19"/>
      <c r="D14" s="19"/>
      <c r="E14" s="20"/>
      <c r="F14" s="20"/>
      <c r="G14" s="21"/>
      <c r="H14" s="20"/>
    </row>
  </sheetData>
  <autoFilter ref="A5:H14"/>
  <mergeCells count="1">
    <mergeCell ref="B2:C2"/>
  </mergeCells>
  <conditionalFormatting sqref="C6:C14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4" type="list">
      <formula1>"Pass,Fail,N/A,Open"</formula1>
      <formula2>0</formula2>
    </dataValidation>
    <dataValidation allowBlank="true" errorStyle="stop" operator="between" showDropDown="false" showErrorMessage="false" showInputMessage="false" sqref="D6:D14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400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26.85" hidden="false" customHeight="false" outlineLevel="0" collapsed="false">
      <c r="A6" s="15" t="s">
        <v>401</v>
      </c>
      <c r="B6" s="15" t="s">
        <v>402</v>
      </c>
      <c r="C6" s="19"/>
      <c r="D6" s="19"/>
      <c r="E6" s="20"/>
      <c r="F6" s="20"/>
      <c r="G6" s="21"/>
      <c r="H6" s="20"/>
    </row>
    <row r="7" customFormat="false" ht="15" hidden="false" customHeight="false" outlineLevel="0" collapsed="false">
      <c r="A7" s="15" t="s">
        <v>403</v>
      </c>
      <c r="B7" s="15" t="s">
        <v>404</v>
      </c>
      <c r="C7" s="19"/>
      <c r="D7" s="19"/>
      <c r="E7" s="20"/>
      <c r="F7" s="20"/>
      <c r="G7" s="21"/>
      <c r="H7" s="20"/>
    </row>
    <row r="8" customFormat="false" ht="26.85" hidden="false" customHeight="false" outlineLevel="0" collapsed="false">
      <c r="A8" s="15" t="s">
        <v>405</v>
      </c>
      <c r="B8" s="15" t="s">
        <v>406</v>
      </c>
      <c r="C8" s="19"/>
      <c r="D8" s="19"/>
      <c r="E8" s="20"/>
      <c r="F8" s="20"/>
      <c r="G8" s="21"/>
      <c r="H8" s="20"/>
    </row>
    <row r="9" customFormat="false" ht="26.85" hidden="false" customHeight="false" outlineLevel="0" collapsed="false">
      <c r="A9" s="15" t="s">
        <v>407</v>
      </c>
      <c r="B9" s="15" t="s">
        <v>408</v>
      </c>
      <c r="C9" s="19"/>
      <c r="D9" s="19"/>
      <c r="E9" s="20"/>
      <c r="F9" s="20"/>
      <c r="G9" s="21"/>
      <c r="H9" s="20"/>
    </row>
    <row r="10" customFormat="false" ht="15" hidden="false" customHeight="false" outlineLevel="0" collapsed="false">
      <c r="A10" s="15" t="s">
        <v>409</v>
      </c>
      <c r="B10" s="15" t="s">
        <v>410</v>
      </c>
      <c r="C10" s="19"/>
      <c r="D10" s="19"/>
      <c r="E10" s="20"/>
      <c r="F10" s="20"/>
      <c r="G10" s="21"/>
      <c r="H10" s="20"/>
    </row>
    <row r="11" customFormat="false" ht="15" hidden="false" customHeight="false" outlineLevel="0" collapsed="false">
      <c r="A11" s="15" t="s">
        <v>411</v>
      </c>
      <c r="B11" s="15" t="s">
        <v>412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413</v>
      </c>
      <c r="B12" s="15" t="s">
        <v>414</v>
      </c>
      <c r="C12" s="19"/>
      <c r="D12" s="19"/>
      <c r="E12" s="20"/>
      <c r="F12" s="20"/>
      <c r="G12" s="21"/>
      <c r="H12" s="20"/>
    </row>
  </sheetData>
  <autoFilter ref="A5:H12"/>
  <mergeCells count="1">
    <mergeCell ref="B2:C2"/>
  </mergeCells>
  <conditionalFormatting sqref="C6:C12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2" type="list">
      <formula1>"Pass,Fail,N/A,Open"</formula1>
      <formula2>0</formula2>
    </dataValidation>
    <dataValidation allowBlank="true" errorStyle="stop" operator="between" showDropDown="false" showErrorMessage="false" showInputMessage="false" sqref="D6:D12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415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15" hidden="false" customHeight="false" outlineLevel="0" collapsed="false">
      <c r="A6" s="15" t="s">
        <v>416</v>
      </c>
      <c r="B6" s="15" t="s">
        <v>417</v>
      </c>
      <c r="C6" s="19"/>
      <c r="D6" s="19"/>
      <c r="E6" s="20"/>
      <c r="F6" s="20"/>
      <c r="G6" s="21"/>
      <c r="H6" s="20"/>
    </row>
    <row r="7" customFormat="false" ht="15" hidden="false" customHeight="false" outlineLevel="0" collapsed="false">
      <c r="A7" s="15" t="s">
        <v>418</v>
      </c>
      <c r="B7" s="15" t="s">
        <v>419</v>
      </c>
      <c r="C7" s="19"/>
      <c r="D7" s="19"/>
      <c r="E7" s="20"/>
      <c r="F7" s="20"/>
      <c r="G7" s="21"/>
      <c r="H7" s="20"/>
    </row>
    <row r="8" customFormat="false" ht="26.85" hidden="false" customHeight="false" outlineLevel="0" collapsed="false">
      <c r="A8" s="15" t="s">
        <v>420</v>
      </c>
      <c r="B8" s="15" t="s">
        <v>421</v>
      </c>
      <c r="C8" s="19"/>
      <c r="D8" s="19"/>
      <c r="E8" s="20"/>
      <c r="F8" s="20"/>
      <c r="G8" s="21"/>
      <c r="H8" s="20"/>
    </row>
    <row r="9" customFormat="false" ht="15" hidden="false" customHeight="false" outlineLevel="0" collapsed="false">
      <c r="A9" s="15" t="s">
        <v>422</v>
      </c>
      <c r="B9" s="15" t="s">
        <v>423</v>
      </c>
      <c r="C9" s="19"/>
      <c r="D9" s="19"/>
      <c r="E9" s="20"/>
      <c r="F9" s="20"/>
      <c r="G9" s="21"/>
      <c r="H9" s="20"/>
    </row>
    <row r="10" customFormat="false" ht="15" hidden="false" customHeight="false" outlineLevel="0" collapsed="false">
      <c r="A10" s="15" t="s">
        <v>424</v>
      </c>
      <c r="B10" s="15" t="s">
        <v>425</v>
      </c>
      <c r="C10" s="19"/>
      <c r="D10" s="19"/>
      <c r="E10" s="20"/>
      <c r="F10" s="20"/>
      <c r="G10" s="21"/>
      <c r="H10" s="20"/>
    </row>
    <row r="11" customFormat="false" ht="26.85" hidden="false" customHeight="false" outlineLevel="0" collapsed="false">
      <c r="A11" s="15" t="s">
        <v>426</v>
      </c>
      <c r="B11" s="15" t="s">
        <v>427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428</v>
      </c>
      <c r="B12" s="15" t="s">
        <v>429</v>
      </c>
      <c r="C12" s="19"/>
      <c r="D12" s="19"/>
      <c r="E12" s="20"/>
      <c r="F12" s="20"/>
      <c r="G12" s="21"/>
      <c r="H12" s="20"/>
    </row>
    <row r="13" customFormat="false" ht="26.85" hidden="false" customHeight="false" outlineLevel="0" collapsed="false">
      <c r="A13" s="15" t="s">
        <v>430</v>
      </c>
      <c r="B13" s="15" t="s">
        <v>431</v>
      </c>
      <c r="C13" s="19"/>
      <c r="D13" s="19"/>
      <c r="E13" s="20"/>
      <c r="F13" s="20"/>
      <c r="G13" s="21"/>
      <c r="H13" s="20"/>
    </row>
    <row r="14" customFormat="false" ht="15" hidden="false" customHeight="false" outlineLevel="0" collapsed="false">
      <c r="A14" s="15" t="s">
        <v>432</v>
      </c>
      <c r="B14" s="15" t="s">
        <v>433</v>
      </c>
      <c r="C14" s="19"/>
      <c r="D14" s="19"/>
      <c r="E14" s="20"/>
      <c r="F14" s="20"/>
      <c r="G14" s="21"/>
      <c r="H14" s="20"/>
    </row>
    <row r="15" customFormat="false" ht="15" hidden="false" customHeight="false" outlineLevel="0" collapsed="false">
      <c r="A15" s="15" t="s">
        <v>434</v>
      </c>
      <c r="B15" s="15" t="s">
        <v>435</v>
      </c>
      <c r="C15" s="19"/>
      <c r="D15" s="19"/>
      <c r="E15" s="20"/>
      <c r="F15" s="20"/>
      <c r="G15" s="21"/>
      <c r="H15" s="20"/>
    </row>
    <row r="16" customFormat="false" ht="26.85" hidden="false" customHeight="false" outlineLevel="0" collapsed="false">
      <c r="A16" s="15" t="s">
        <v>436</v>
      </c>
      <c r="B16" s="15" t="s">
        <v>437</v>
      </c>
      <c r="C16" s="19"/>
      <c r="D16" s="19"/>
      <c r="E16" s="20"/>
      <c r="F16" s="20"/>
      <c r="G16" s="21"/>
      <c r="H16" s="20"/>
    </row>
  </sheetData>
  <autoFilter ref="A5:H16"/>
  <mergeCells count="1">
    <mergeCell ref="B2:C2"/>
  </mergeCells>
  <conditionalFormatting sqref="C6:C16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6" type="list">
      <formula1>"Pass,Fail,N/A,Open"</formula1>
      <formula2>0</formula2>
    </dataValidation>
    <dataValidation allowBlank="true" errorStyle="stop" operator="between" showDropDown="false" showErrorMessage="false" showInputMessage="false" sqref="D6:D16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438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26.85" hidden="false" customHeight="false" outlineLevel="0" collapsed="false">
      <c r="A6" s="15" t="s">
        <v>439</v>
      </c>
      <c r="B6" s="15" t="s">
        <v>440</v>
      </c>
      <c r="C6" s="19"/>
      <c r="D6" s="19"/>
      <c r="E6" s="20"/>
      <c r="F6" s="20"/>
      <c r="G6" s="21"/>
      <c r="H6" s="20"/>
    </row>
    <row r="7" customFormat="false" ht="15" hidden="false" customHeight="false" outlineLevel="0" collapsed="false">
      <c r="A7" s="15" t="s">
        <v>441</v>
      </c>
      <c r="B7" s="15" t="s">
        <v>442</v>
      </c>
      <c r="C7" s="19"/>
      <c r="D7" s="19"/>
      <c r="E7" s="20"/>
      <c r="F7" s="20"/>
      <c r="G7" s="21"/>
      <c r="H7" s="20"/>
    </row>
    <row r="8" customFormat="false" ht="26.85" hidden="false" customHeight="false" outlineLevel="0" collapsed="false">
      <c r="A8" s="15" t="s">
        <v>443</v>
      </c>
      <c r="B8" s="15" t="s">
        <v>444</v>
      </c>
      <c r="C8" s="19"/>
      <c r="D8" s="19"/>
      <c r="E8" s="20"/>
      <c r="F8" s="20"/>
      <c r="G8" s="21"/>
      <c r="H8" s="20"/>
    </row>
    <row r="9" customFormat="false" ht="15" hidden="false" customHeight="false" outlineLevel="0" collapsed="false">
      <c r="A9" s="15" t="s">
        <v>445</v>
      </c>
      <c r="B9" s="15" t="s">
        <v>446</v>
      </c>
      <c r="C9" s="19"/>
      <c r="D9" s="19"/>
      <c r="E9" s="20"/>
      <c r="F9" s="20"/>
      <c r="G9" s="21"/>
      <c r="H9" s="20"/>
    </row>
    <row r="10" customFormat="false" ht="15" hidden="false" customHeight="false" outlineLevel="0" collapsed="false">
      <c r="A10" s="15" t="s">
        <v>447</v>
      </c>
      <c r="B10" s="15" t="s">
        <v>448</v>
      </c>
      <c r="C10" s="19"/>
      <c r="D10" s="19"/>
      <c r="E10" s="20"/>
      <c r="F10" s="20"/>
      <c r="G10" s="21"/>
      <c r="H10" s="20"/>
    </row>
    <row r="11" customFormat="false" ht="15" hidden="false" customHeight="false" outlineLevel="0" collapsed="false">
      <c r="A11" s="15" t="s">
        <v>449</v>
      </c>
      <c r="B11" s="15" t="s">
        <v>450</v>
      </c>
      <c r="C11" s="19"/>
      <c r="D11" s="19"/>
      <c r="E11" s="20"/>
      <c r="F11" s="20"/>
      <c r="G11" s="21"/>
      <c r="H11" s="20"/>
    </row>
    <row r="12" customFormat="false" ht="26.85" hidden="false" customHeight="false" outlineLevel="0" collapsed="false">
      <c r="A12" s="15" t="s">
        <v>451</v>
      </c>
      <c r="B12" s="15" t="s">
        <v>452</v>
      </c>
      <c r="C12" s="19"/>
      <c r="D12" s="19"/>
      <c r="E12" s="20"/>
      <c r="F12" s="20"/>
      <c r="G12" s="21"/>
      <c r="H12" s="20"/>
    </row>
  </sheetData>
  <autoFilter ref="A5:H12"/>
  <mergeCells count="1">
    <mergeCell ref="B2:C2"/>
  </mergeCells>
  <conditionalFormatting sqref="C6:C12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2" type="list">
      <formula1>"Pass,Fail,N/A,Open"</formula1>
      <formula2>0</formula2>
    </dataValidation>
    <dataValidation allowBlank="true" errorStyle="stop" operator="between" showDropDown="false" showErrorMessage="false" showInputMessage="false" sqref="D6:D12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6"/>
    <col collapsed="false" customWidth="true" hidden="false" outlineLevel="0" max="4" min="3" style="0" width="11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76</v>
      </c>
      <c r="B2" s="16"/>
      <c r="C2" s="16"/>
      <c r="D2" s="17" t="s">
        <v>77</v>
      </c>
      <c r="E2" s="18"/>
    </row>
    <row r="5" customFormat="false" ht="26.8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</row>
    <row r="6" customFormat="false" ht="39.55" hidden="false" customHeight="false" outlineLevel="0" collapsed="false">
      <c r="A6" s="15" t="s">
        <v>453</v>
      </c>
      <c r="B6" s="15" t="s">
        <v>454</v>
      </c>
      <c r="C6" s="19"/>
      <c r="D6" s="19"/>
      <c r="E6" s="20"/>
      <c r="F6" s="20"/>
      <c r="G6" s="21"/>
      <c r="H6" s="20"/>
    </row>
    <row r="7" customFormat="false" ht="15" hidden="false" customHeight="false" outlineLevel="0" collapsed="false">
      <c r="A7" s="15" t="s">
        <v>455</v>
      </c>
      <c r="B7" s="15" t="s">
        <v>456</v>
      </c>
      <c r="C7" s="19"/>
      <c r="D7" s="19"/>
      <c r="E7" s="20"/>
      <c r="F7" s="20"/>
      <c r="G7" s="21"/>
      <c r="H7" s="20"/>
    </row>
    <row r="8" customFormat="false" ht="15" hidden="false" customHeight="false" outlineLevel="0" collapsed="false">
      <c r="A8" s="15" t="s">
        <v>457</v>
      </c>
      <c r="B8" s="15" t="s">
        <v>458</v>
      </c>
      <c r="C8" s="19"/>
      <c r="D8" s="19"/>
      <c r="E8" s="20"/>
      <c r="F8" s="20"/>
      <c r="G8" s="21"/>
      <c r="H8" s="20"/>
    </row>
    <row r="9" customFormat="false" ht="15" hidden="false" customHeight="false" outlineLevel="0" collapsed="false">
      <c r="A9" s="15" t="s">
        <v>459</v>
      </c>
      <c r="B9" s="15" t="s">
        <v>460</v>
      </c>
      <c r="C9" s="19"/>
      <c r="D9" s="19"/>
      <c r="E9" s="20"/>
      <c r="F9" s="20"/>
      <c r="G9" s="21"/>
      <c r="H9" s="20"/>
    </row>
    <row r="10" customFormat="false" ht="15" hidden="false" customHeight="false" outlineLevel="0" collapsed="false">
      <c r="A10" s="15" t="s">
        <v>461</v>
      </c>
      <c r="B10" s="15" t="s">
        <v>462</v>
      </c>
      <c r="C10" s="19"/>
      <c r="D10" s="19"/>
      <c r="E10" s="20"/>
      <c r="F10" s="20"/>
      <c r="G10" s="21"/>
      <c r="H10" s="20"/>
    </row>
    <row r="11" customFormat="false" ht="26.85" hidden="false" customHeight="false" outlineLevel="0" collapsed="false">
      <c r="A11" s="15" t="s">
        <v>463</v>
      </c>
      <c r="B11" s="15" t="s">
        <v>464</v>
      </c>
      <c r="C11" s="19"/>
      <c r="D11" s="19"/>
      <c r="E11" s="20"/>
      <c r="F11" s="20"/>
      <c r="G11" s="21"/>
      <c r="H11" s="20"/>
    </row>
    <row r="12" customFormat="false" ht="15" hidden="false" customHeight="false" outlineLevel="0" collapsed="false">
      <c r="A12" s="15" t="s">
        <v>465</v>
      </c>
      <c r="B12" s="15" t="s">
        <v>466</v>
      </c>
      <c r="C12" s="19"/>
      <c r="D12" s="19"/>
      <c r="E12" s="20"/>
      <c r="F12" s="20"/>
      <c r="G12" s="21"/>
      <c r="H12" s="20"/>
    </row>
    <row r="13" customFormat="false" ht="26.85" hidden="false" customHeight="false" outlineLevel="0" collapsed="false">
      <c r="A13" s="15" t="s">
        <v>467</v>
      </c>
      <c r="B13" s="15" t="s">
        <v>468</v>
      </c>
      <c r="C13" s="19"/>
      <c r="D13" s="19"/>
      <c r="E13" s="20"/>
      <c r="F13" s="20"/>
      <c r="G13" s="21"/>
      <c r="H13" s="20"/>
    </row>
    <row r="14" customFormat="false" ht="26.85" hidden="false" customHeight="false" outlineLevel="0" collapsed="false">
      <c r="A14" s="15" t="s">
        <v>469</v>
      </c>
      <c r="B14" s="15" t="s">
        <v>470</v>
      </c>
      <c r="C14" s="19"/>
      <c r="D14" s="19"/>
      <c r="E14" s="20"/>
      <c r="F14" s="20"/>
      <c r="G14" s="21"/>
      <c r="H14" s="20"/>
    </row>
    <row r="15" customFormat="false" ht="15" hidden="false" customHeight="false" outlineLevel="0" collapsed="false">
      <c r="A15" s="15" t="s">
        <v>471</v>
      </c>
      <c r="B15" s="15" t="s">
        <v>472</v>
      </c>
      <c r="C15" s="19"/>
      <c r="D15" s="19"/>
      <c r="E15" s="20"/>
      <c r="F15" s="20"/>
      <c r="G15" s="21"/>
      <c r="H15" s="20"/>
    </row>
    <row r="16" customFormat="false" ht="15" hidden="false" customHeight="false" outlineLevel="0" collapsed="false">
      <c r="A16" s="15" t="s">
        <v>473</v>
      </c>
      <c r="B16" s="15" t="s">
        <v>474</v>
      </c>
      <c r="C16" s="19"/>
      <c r="D16" s="19"/>
      <c r="E16" s="20"/>
      <c r="F16" s="20"/>
      <c r="G16" s="21"/>
      <c r="H16" s="20"/>
    </row>
  </sheetData>
  <autoFilter ref="A5:H16"/>
  <mergeCells count="1">
    <mergeCell ref="B2:C2"/>
  </mergeCells>
  <conditionalFormatting sqref="C6:C16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"Open"</formula>
    </cfRule>
    <cfRule type="cellIs" priority="5" operator="equal" aboveAverage="0" equalAverage="0" bottom="0" percent="0" rank="0" text="" dxfId="7">
      <formula>"N/A"</formula>
    </cfRule>
  </conditionalFormatting>
  <dataValidations count="2">
    <dataValidation allowBlank="true" errorStyle="stop" operator="between" showDropDown="false" showErrorMessage="false" showInputMessage="false" sqref="C6:C16" type="list">
      <formula1>"Pass,Fail,N/A,Open"</formula1>
      <formula2>0</formula2>
    </dataValidation>
    <dataValidation allowBlank="true" errorStyle="stop" operator="between" showDropDown="false" showErrorMessage="false" showInputMessage="false" sqref="D6:D16" type="list">
      <formula1>"Critical,Major,Minor,Info"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2026-10-08T18:35:29Z</dcterms:created>
  <dc:creator>openpyxl</dc:creator>
  <dc:description/>
  <dc:language>en-US</dc:language>
  <cp:lastModifiedBy/>
  <dcterms:modified xsi:type="dcterms:W3CDTF">2026-10-08T18:35:30Z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